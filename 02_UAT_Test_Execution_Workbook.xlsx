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Execution Log" sheetId="1" state="visible" r:id="rId3"/>
    <sheet name="NFR Test Results" sheetId="2" state="visible" r:id="rId4"/>
    <sheet name="UAT Summary" sheetId="3" state="visible" r:id="rId5"/>
  </sheets>
  <definedNames>
    <definedName function="false" hidden="true" localSheetId="0" name="_xlnm._FilterDatabase" vbProcedure="false">'Test Execution Log'!$A$4:$L$58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<sst xmlns="http://schemas.openxmlformats.org/spreadsheetml/2006/main" count="779" uniqueCount="395">
  <si>
    <t xml:space="preserve">UAT TEST EXECUTION LOG — Skye Fundraising Intelligence Dashboard</t>
  </si>
  <si>
    <t xml:space="preserve">Executed by: Business Analyst  ·  Julie Chen (Fundraising)  ·  Chloe Rivera (Marketing)  ·  March 15, 2026</t>
  </si>
  <si>
    <t xml:space="preserve">Test ID</t>
  </si>
  <si>
    <t xml:space="preserve">Story ID</t>
  </si>
  <si>
    <t xml:space="preserve">Tab</t>
  </si>
  <si>
    <t xml:space="preserve">Component</t>
  </si>
  <si>
    <t xml:space="preserve">Test Description</t>
  </si>
  <si>
    <t xml:space="preserve">Tester</t>
  </si>
  <si>
    <t xml:space="preserve">Date</t>
  </si>
  <si>
    <t xml:space="preserve">Expected Result</t>
  </si>
  <si>
    <t xml:space="preserve">Actual Result</t>
  </si>
  <si>
    <t xml:space="preserve">Pass/Fail</t>
  </si>
  <si>
    <t xml:space="preserve">Defect #</t>
  </si>
  <si>
    <t xml:space="preserve">Notes</t>
  </si>
  <si>
    <t xml:space="preserve">FT-01a</t>
  </si>
  <si>
    <t xml:space="preserve">US-01</t>
  </si>
  <si>
    <t xml:space="preserve">Tab 1</t>
  </si>
  <si>
    <t xml:space="preserve">KPI: Total Donations</t>
  </si>
  <si>
    <t xml:space="preserve">Apply full-year 2024 filter → verify Total Donations = $1.24M</t>
  </si>
  <si>
    <t xml:space="preserve">Julie Chen</t>
  </si>
  <si>
    <t xml:space="preserve">March 15, 2026</t>
  </si>
  <si>
    <t xml:space="preserve">$1,240,000 ± 0.1%</t>
  </si>
  <si>
    <t xml:space="preserve">$1,242,315 — within threshold</t>
  </si>
  <si>
    <t xml:space="preserve">PASS</t>
  </si>
  <si>
    <t xml:space="preserve">—</t>
  </si>
  <si>
    <t xml:space="preserve">Matches Snowflake SUM query exactly</t>
  </si>
  <si>
    <t xml:space="preserve">FT-01b</t>
  </si>
  <si>
    <t xml:space="preserve">Change Date Range to Q1 → verify KPI updates</t>
  </si>
  <si>
    <t xml:space="preserve">BA</t>
  </si>
  <si>
    <t xml:space="preserve">KPI changes to Q1 value</t>
  </si>
  <si>
    <t xml:space="preserve">Updated to $312,450 in &lt; 1.5s</t>
  </si>
  <si>
    <t xml:space="preserve">Filter response time: 0.8s</t>
  </si>
  <si>
    <t xml:space="preserve">FT-01c</t>
  </si>
  <si>
    <t xml:space="preserve">Apply Donor Segment = Major → verify KPI filters</t>
  </si>
  <si>
    <t xml:space="preserve">Major-only donations shown</t>
  </si>
  <si>
    <t xml:space="preserve">$645,000 — 52% of total</t>
  </si>
  <si>
    <t xml:space="preserve">Consistent with segment donut on Tab 3</t>
  </si>
  <si>
    <t xml:space="preserve">FT-01d</t>
  </si>
  <si>
    <t xml:space="preserve">Remove all filters → verify full-year value returns</t>
  </si>
  <si>
    <t xml:space="preserve">Returns to $1,242,315</t>
  </si>
  <si>
    <t xml:space="preserve">Returned correctly</t>
  </si>
  <si>
    <t xml:space="preserve">FT-01e</t>
  </si>
  <si>
    <t xml:space="preserve">Cross-check against Snowflake SUM</t>
  </si>
  <si>
    <t xml:space="preserve">&lt; 0.1% variance</t>
  </si>
  <si>
    <t xml:space="preserve">0.04% variance</t>
  </si>
  <si>
    <t xml:space="preserve">NFR-009 met</t>
  </si>
  <si>
    <t xml:space="preserve">FT-02a</t>
  </si>
  <si>
    <t xml:space="preserve">US-02</t>
  </si>
  <si>
    <t xml:space="preserve">Donor Growth Chart</t>
  </si>
  <si>
    <t xml:space="preserve">Verify 12 monthly data points for 2024</t>
  </si>
  <si>
    <t xml:space="preserve">12 bars + 12 line points</t>
  </si>
  <si>
    <t xml:space="preserve">12 months render correctly</t>
  </si>
  <si>
    <t xml:space="preserve">FT-02b</t>
  </si>
  <si>
    <t xml:space="preserve">Verify retention line moves independently on filter</t>
  </si>
  <si>
    <t xml:space="preserve">Line updates independently</t>
  </si>
  <si>
    <t xml:space="preserve">Line updated correctly on filter</t>
  </si>
  <si>
    <t xml:space="preserve">FT-02c</t>
  </si>
  <si>
    <t xml:space="preserve">Apply Campaign = WHM → verify March spike</t>
  </si>
  <si>
    <t xml:space="preserve">March bar highlighted</t>
  </si>
  <si>
    <t xml:space="preserve">Spike visible with Gold annotation</t>
  </si>
  <si>
    <t xml:space="preserve">FT-02d</t>
  </si>
  <si>
    <t xml:space="preserve">Verify tooltip on 3 random months</t>
  </si>
  <si>
    <t xml:space="preserve">Chloe Rivera</t>
  </si>
  <si>
    <t xml:space="preserve">Month + count + retention %</t>
  </si>
  <si>
    <t xml:space="preserve">Tooltip shows all 3 values</t>
  </si>
  <si>
    <t xml:space="preserve">Chloe confirmed labels clear</t>
  </si>
  <si>
    <t xml:space="preserve">FT-02e</t>
  </si>
  <si>
    <t xml:space="preserve">Verify 65% reference line renders</t>
  </si>
  <si>
    <t xml:space="preserve">Reference line at 65%</t>
  </si>
  <si>
    <t xml:space="preserve">Line renders; labeled '65% target'</t>
  </si>
  <si>
    <t xml:space="preserve">NFR-007 met</t>
  </si>
  <si>
    <t xml:space="preserve">FT-03a</t>
  </si>
  <si>
    <t xml:space="preserve">US-03</t>
  </si>
  <si>
    <t xml:space="preserve">Revenue by Channel</t>
  </si>
  <si>
    <t xml:space="preserve">Verify 4 channels appear</t>
  </si>
  <si>
    <t xml:space="preserve">Email, Social, Direct, Event</t>
  </si>
  <si>
    <t xml:space="preserve">All 4 present</t>
  </si>
  <si>
    <t xml:space="preserve">FT-03b</t>
  </si>
  <si>
    <t xml:space="preserve">Verify Email is longest bar (52%)</t>
  </si>
  <si>
    <t xml:space="preserve">Email bar = 52% of total</t>
  </si>
  <si>
    <t xml:space="preserve">Email bar longest — 52%</t>
  </si>
  <si>
    <t xml:space="preserve">Chloe: 'That matches what I'd expect'</t>
  </si>
  <si>
    <t xml:space="preserve">FT-03c</t>
  </si>
  <si>
    <t xml:space="preserve">Apply Channel = Email only</t>
  </si>
  <si>
    <t xml:space="preserve">Single bar shown</t>
  </si>
  <si>
    <t xml:space="preserve">Single bar renders correctly</t>
  </si>
  <si>
    <t xml:space="preserve">FT-03d</t>
  </si>
  <si>
    <t xml:space="preserve">Verify revenue labels at bar end</t>
  </si>
  <si>
    <t xml:space="preserve">$ amount at bar end</t>
  </si>
  <si>
    <t xml:space="preserve">Labels visible and formatted</t>
  </si>
  <si>
    <t xml:space="preserve">FT-04a</t>
  </si>
  <si>
    <t xml:space="preserve">US-04</t>
  </si>
  <si>
    <t xml:space="preserve">Campaign ROI Ranking</t>
  </si>
  <si>
    <t xml:space="preserve">Verify WHM is #1 at 6.8x</t>
  </si>
  <si>
    <t xml:space="preserve">WHM ranked 1st with 6.8x</t>
  </si>
  <si>
    <t xml:space="preserve">6.8x confirmed — ranked #1</t>
  </si>
  <si>
    <t xml:space="preserve">FT-04b</t>
  </si>
  <si>
    <t xml:space="preserve">Verify Gold highlight on top campaign</t>
  </si>
  <si>
    <t xml:space="preserve">Top bar in Mission Gold</t>
  </si>
  <si>
    <t xml:space="preserve">Gold applied correctly</t>
  </si>
  <si>
    <t xml:space="preserve">Chloe approved the color distinction</t>
  </si>
  <si>
    <t xml:space="preserve">FT-04c</t>
  </si>
  <si>
    <t xml:space="preserve">Verify 1.0x breakeven line</t>
  </si>
  <si>
    <t xml:space="preserve">Reference line at 1.0x</t>
  </si>
  <si>
    <t xml:space="preserve">Line renders and labeled</t>
  </si>
  <si>
    <t xml:space="preserve">FT-04d</t>
  </si>
  <si>
    <t xml:space="preserve">Test Coral for loss-making campaign</t>
  </si>
  <si>
    <t xml:space="preserve">Loss campaign bar in Coral</t>
  </si>
  <si>
    <t xml:space="preserve">Coral applied for ROI &lt; 1.0x</t>
  </si>
  <si>
    <t xml:space="preserve">Tested with modified dataset</t>
  </si>
  <si>
    <t xml:space="preserve">FT-04e</t>
  </si>
  <si>
    <t xml:space="preserve">Verify tooltip: revenue + cost + ROI</t>
  </si>
  <si>
    <t xml:space="preserve">3 values in tooltip</t>
  </si>
  <si>
    <t xml:space="preserve">All 3 values present</t>
  </si>
  <si>
    <t xml:space="preserve">Chloe: 'This is exactly what I need for my budget conversation'</t>
  </si>
  <si>
    <t xml:space="preserve">FT-05a</t>
  </si>
  <si>
    <t xml:space="preserve">US-05</t>
  </si>
  <si>
    <t xml:space="preserve">Insight Annotation Bar</t>
  </si>
  <si>
    <t xml:space="preserve">Verify annotation renders at bottom</t>
  </si>
  <si>
    <t xml:space="preserve">Green callout bar visible</t>
  </si>
  <si>
    <t xml:space="preserve">Renders correctly</t>
  </si>
  <si>
    <t xml:space="preserve">FT-05b</t>
  </si>
  <si>
    <t xml:space="preserve">Verify WHM and retention referenced</t>
  </si>
  <si>
    <t xml:space="preserve">Both findings mentioned</t>
  </si>
  <si>
    <t xml:space="preserve">Both mentioned — plain English</t>
  </si>
  <si>
    <t xml:space="preserve">FT-05c</t>
  </si>
  <si>
    <t xml:space="preserve">Verify visible without scrolling at 1366px</t>
  </si>
  <si>
    <t xml:space="preserve">Visible without scroll</t>
  </si>
  <si>
    <t xml:space="preserve">Visible on 1366px</t>
  </si>
  <si>
    <t xml:space="preserve">NFR-008 met</t>
  </si>
  <si>
    <t xml:space="preserve">FT-05d</t>
  </si>
  <si>
    <t xml:space="preserve">Verify no overlap with charts</t>
  </si>
  <si>
    <t xml:space="preserve">No overlap</t>
  </si>
  <si>
    <t xml:space="preserve">Clean separation</t>
  </si>
  <si>
    <t xml:space="preserve">FT-06a</t>
  </si>
  <si>
    <t xml:space="preserve">US-06</t>
  </si>
  <si>
    <t xml:space="preserve">Tab 2</t>
  </si>
  <si>
    <t xml:space="preserve">Email Funnel</t>
  </si>
  <si>
    <t xml:space="preserve">Verify 4 stages with correct labels</t>
  </si>
  <si>
    <t xml:space="preserve">Sent, Opened, Clicked, Donated</t>
  </si>
  <si>
    <t xml:space="preserve">All 4 stages present</t>
  </si>
  <si>
    <t xml:space="preserve">FT-06b</t>
  </si>
  <si>
    <t xml:space="preserve">Verify stage counts and percentages</t>
  </si>
  <si>
    <t xml:space="preserve">22400/8960(40%)/3763(42%)/1190(32%)</t>
  </si>
  <si>
    <t xml:space="preserve">All counts and percentages correct</t>
  </si>
  <si>
    <t xml:space="preserve">Chloe: 'The 42% click-to-open is very strong. I want to show this to leadership.'</t>
  </si>
  <si>
    <t xml:space="preserve">FT-06c</t>
  </si>
  <si>
    <t xml:space="preserve">Apply Campaign filter → verify update</t>
  </si>
  <si>
    <t xml:space="preserve">Funnel updates to campaign</t>
  </si>
  <si>
    <t xml:space="preserve">Updated correctly for WHM</t>
  </si>
  <si>
    <t xml:space="preserve">FT-06d</t>
  </si>
  <si>
    <t xml:space="preserve">Verify % is vs previous stage (not total sent)</t>
  </si>
  <si>
    <t xml:space="preserve">Clicked % = clicked/opened</t>
  </si>
  <si>
    <t xml:space="preserve">42% = clicked/opened confirmed</t>
  </si>
  <si>
    <t xml:space="preserve">Critical — common funnel mistake to show vs total</t>
  </si>
  <si>
    <t xml:space="preserve">FT-06e</t>
  </si>
  <si>
    <t xml:space="preserve">Verify visual narrowing of funnel shape</t>
  </si>
  <si>
    <t xml:space="preserve">Visually narrows top to bottom</t>
  </si>
  <si>
    <t xml:space="preserve">Narrowing visible and clear</t>
  </si>
  <si>
    <t xml:space="preserve">FT-07a</t>
  </si>
  <si>
    <t xml:space="preserve">US-07</t>
  </si>
  <si>
    <t xml:space="preserve">Cost vs Revenue Chart</t>
  </si>
  <si>
    <t xml:space="preserve">Verify all campaign pairs render</t>
  </si>
  <si>
    <t xml:space="preserve">All pairs with 2 bars each</t>
  </si>
  <si>
    <t xml:space="preserve">All pairs render</t>
  </si>
  <si>
    <t xml:space="preserve">FT-07b</t>
  </si>
  <si>
    <t xml:space="preserve">Verify Major Donor Event has highest Cost bar</t>
  </si>
  <si>
    <t xml:space="preserve">Cost bar = $20k</t>
  </si>
  <si>
    <t xml:space="preserve">$20k Coral bar — tallest cost</t>
  </si>
  <si>
    <t xml:space="preserve">Julie: 'This is the conversation I need to have about events vs. direct mail'</t>
  </si>
  <si>
    <t xml:space="preserve">FT-07c</t>
  </si>
  <si>
    <t xml:space="preserve">Verify WHM has highest Revenue bar</t>
  </si>
  <si>
    <t xml:space="preserve">Revenue bar = $195k</t>
  </si>
  <si>
    <t xml:space="preserve">$195k confirmed</t>
  </si>
  <si>
    <t xml:space="preserve">FT-07d</t>
  </si>
  <si>
    <t xml:space="preserve">Verify legend: Navy=Revenue, Coral=Cost</t>
  </si>
  <si>
    <t xml:space="preserve">Legend renders correctly</t>
  </si>
  <si>
    <t xml:space="preserve">Legend present and correct</t>
  </si>
  <si>
    <t xml:space="preserve">FT-08a</t>
  </si>
  <si>
    <t xml:space="preserve">US-08</t>
  </si>
  <si>
    <t xml:space="preserve">Revenue by Campaign</t>
  </si>
  <si>
    <t xml:space="preserve">Verify WHM is top bar at $195k</t>
  </si>
  <si>
    <t xml:space="preserve">WHM first, $195k</t>
  </si>
  <si>
    <t xml:space="preserve">Confirmed</t>
  </si>
  <si>
    <t xml:space="preserve">FT-08b</t>
  </si>
  <si>
    <t xml:space="preserve">Verify Gold on top campaign only</t>
  </si>
  <si>
    <t xml:space="preserve">Only top bar is Gold</t>
  </si>
  <si>
    <t xml:space="preserve">Only WHM bar is Gold</t>
  </si>
  <si>
    <t xml:space="preserve">FT-08c</t>
  </si>
  <si>
    <t xml:space="preserve">Verify all 9 campaigns appear</t>
  </si>
  <si>
    <t xml:space="preserve">9 campaign bars</t>
  </si>
  <si>
    <t xml:space="preserve">All 9 present</t>
  </si>
  <si>
    <t xml:space="preserve">FT-08d</t>
  </si>
  <si>
    <t xml:space="preserve">Apply Channel = Email → verify update</t>
  </si>
  <si>
    <t xml:space="preserve">Email-only revenue shown</t>
  </si>
  <si>
    <t xml:space="preserve">Bars update correctly</t>
  </si>
  <si>
    <t xml:space="preserve">FT-09a</t>
  </si>
  <si>
    <t xml:space="preserve">US-09</t>
  </si>
  <si>
    <t xml:space="preserve">Tab 3</t>
  </si>
  <si>
    <t xml:space="preserve">Donor Segmentation</t>
  </si>
  <si>
    <t xml:space="preserve">Verify 3 segments in bar and 3 donuts</t>
  </si>
  <si>
    <t xml:space="preserve">General/Major/Recurring</t>
  </si>
  <si>
    <t xml:space="preserve">All 3 render</t>
  </si>
  <si>
    <t xml:space="preserve">FT-09b</t>
  </si>
  <si>
    <t xml:space="preserve">Verify Major donut = ~52% in Gold</t>
  </si>
  <si>
    <t xml:space="preserve">Major donut ~52%</t>
  </si>
  <si>
    <t xml:space="preserve">52% — Gold donut</t>
  </si>
  <si>
    <t xml:space="preserve">Julie: 'That 52% is the number I reference every single board meeting'</t>
  </si>
  <si>
    <t xml:space="preserve">FT-09c</t>
  </si>
  <si>
    <t xml:space="preserve">Verify General donut = ~38% in Navy</t>
  </si>
  <si>
    <t xml:space="preserve">General ~38%</t>
  </si>
  <si>
    <t xml:space="preserve">38% confirmed</t>
  </si>
  <si>
    <t xml:space="preserve">FT-09e</t>
  </si>
  <si>
    <t xml:space="preserve">Verify no individual donor data visible</t>
  </si>
  <si>
    <t xml:space="preserve">No names/amounts</t>
  </si>
  <si>
    <t xml:space="preserve">No PII visible</t>
  </si>
  <si>
    <t xml:space="preserve">Critical governance check — passed</t>
  </si>
  <si>
    <t xml:space="preserve">FT-10a</t>
  </si>
  <si>
    <t xml:space="preserve">US-10</t>
  </si>
  <si>
    <t xml:space="preserve">Geographic Map</t>
  </si>
  <si>
    <t xml:space="preserve">Verify all 10 demo states present</t>
  </si>
  <si>
    <t xml:space="preserve">10 states with dots</t>
  </si>
  <si>
    <t xml:space="preserve">All 10 states visible</t>
  </si>
  <si>
    <t xml:space="preserve">FT-10b</t>
  </si>
  <si>
    <t xml:space="preserve">Verify CA shows largest dot</t>
  </si>
  <si>
    <t xml:space="preserve">CA largest dot</t>
  </si>
  <si>
    <t xml:space="preserve">CA dot is largest</t>
  </si>
  <si>
    <t xml:space="preserve">FT-10c</t>
  </si>
  <si>
    <t xml:space="preserve">Verify tooltip: state + revenue + donors</t>
  </si>
  <si>
    <t xml:space="preserve">All 3 present</t>
  </si>
  <si>
    <t xml:space="preserve">FT-10d</t>
  </si>
  <si>
    <t xml:space="preserve">Apply Major segment → map updates</t>
  </si>
  <si>
    <t xml:space="preserve">Map shows major donor states</t>
  </si>
  <si>
    <t xml:space="preserve">Updates correctly</t>
  </si>
  <si>
    <t xml:space="preserve">FT-10e</t>
  </si>
  <si>
    <t xml:space="preserve">Verify no street/ZIP data visible</t>
  </si>
  <si>
    <t xml:space="preserve">State level only</t>
  </si>
  <si>
    <t xml:space="preserve">State level only — no ZIP/city</t>
  </si>
  <si>
    <t xml:space="preserve">NFR-011 met</t>
  </si>
  <si>
    <t xml:space="preserve">FT-11a</t>
  </si>
  <si>
    <t xml:space="preserve">US-11</t>
  </si>
  <si>
    <t xml:space="preserve">Outlier Detection</t>
  </si>
  <si>
    <t xml:space="preserve">Verify September in Coral</t>
  </si>
  <si>
    <t xml:space="preserve">Sept dot = Coral</t>
  </si>
  <si>
    <t xml:space="preserve">Coral applied to Sept</t>
  </si>
  <si>
    <t xml:space="preserve">FT-11b</t>
  </si>
  <si>
    <t xml:space="preserve">Verify no other Coral data points</t>
  </si>
  <si>
    <t xml:space="preserve">Only Sept is Coral</t>
  </si>
  <si>
    <t xml:space="preserve">Only Sept — Coral exclusive</t>
  </si>
  <si>
    <t xml:space="preserve">NFR-005 met</t>
  </si>
  <si>
    <t xml:space="preserve">FT-11c</t>
  </si>
  <si>
    <t xml:space="preserve">Verify Sept annotation visible</t>
  </si>
  <si>
    <t xml:space="preserve">Plain-English annotation</t>
  </si>
  <si>
    <t xml:space="preserve">Annotation visible and clear</t>
  </si>
  <si>
    <t xml:space="preserve">FT-11d</t>
  </si>
  <si>
    <t xml:space="preserve">Exclude Sept via filter → Coral disappears</t>
  </si>
  <si>
    <t xml:space="preserve">No Coral when Sept excluded</t>
  </si>
  <si>
    <t xml:space="preserve">Coral disappears correctly</t>
  </si>
  <si>
    <t xml:space="preserve">FT-12a</t>
  </si>
  <si>
    <t xml:space="preserve">US-12</t>
  </si>
  <si>
    <t xml:space="preserve">Lifetime Giving Histogram</t>
  </si>
  <si>
    <t xml:space="preserve">Verify 6 bins with correct labels</t>
  </si>
  <si>
    <t xml:space="preserve">6 bins as specified</t>
  </si>
  <si>
    <t xml:space="preserve">All 6 bins render</t>
  </si>
  <si>
    <t xml:space="preserve">FT-12b</t>
  </si>
  <si>
    <t xml:space="preserve">Verify $0-1k is tallest bar (~42%)</t>
  </si>
  <si>
    <t xml:space="preserve">$0-1k tallest</t>
  </si>
  <si>
    <t xml:space="preserve">$0-1k is tallest at ~42%</t>
  </si>
  <si>
    <t xml:space="preserve">FT-12c</t>
  </si>
  <si>
    <t xml:space="preserve">Verify $10k+ bins are Gold</t>
  </si>
  <si>
    <t xml:space="preserve">Gold on high-value bins</t>
  </si>
  <si>
    <t xml:space="preserve">Gold applied to $10-20k and $20k+</t>
  </si>
  <si>
    <t xml:space="preserve">Chloe: 'This tells me our mid-level upgrade pipeline clearly'</t>
  </si>
  <si>
    <t xml:space="preserve">FT-12d</t>
  </si>
  <si>
    <t xml:space="preserve">Apply Major segment → bins shift right</t>
  </si>
  <si>
    <t xml:space="preserve">Higher bins more prominent</t>
  </si>
  <si>
    <t xml:space="preserve">Histogram shifts to right bins</t>
  </si>
  <si>
    <t xml:space="preserve">FT-12e</t>
  </si>
  <si>
    <t xml:space="preserve">Verify tooltip: range + count + pct</t>
  </si>
  <si>
    <t xml:space="preserve">NON-FUNCTIONAL REQUIREMENTS TEST RESULTS</t>
  </si>
  <si>
    <t xml:space="preserve">Benchmarked against Salesforce NPSP, Blackbaud, Bloomerang, Virtuous, Tableau Public  ·  March 15, 2026</t>
  </si>
  <si>
    <t xml:space="preserve">NFR ID</t>
  </si>
  <si>
    <t xml:space="preserve">Category</t>
  </si>
  <si>
    <t xml:space="preserve">Requirement</t>
  </si>
  <si>
    <t xml:space="preserve">Target</t>
  </si>
  <si>
    <t xml:space="preserve">Industry Standard</t>
  </si>
  <si>
    <t xml:space="preserve">Test Method</t>
  </si>
  <si>
    <t xml:space="preserve">Result</t>
  </si>
  <si>
    <t xml:space="preserve">Status</t>
  </si>
  <si>
    <t xml:space="preserve">NFR-001</t>
  </si>
  <si>
    <t xml:space="preserve">Performance</t>
  </si>
  <si>
    <t xml:space="preserve">Dashboard load time</t>
  </si>
  <si>
    <t xml:space="preserve">&lt; 3 seconds</t>
  </si>
  <si>
    <t xml:space="preserve">Tableau Public avg: 2-4s</t>
  </si>
  <si>
    <t xml:space="preserve">Timed with stopwatch on 50Mbps connection</t>
  </si>
  <si>
    <t xml:space="preserve">2.1 seconds — first load</t>
  </si>
  <si>
    <t xml:space="preserve">NFR-002</t>
  </si>
  <si>
    <t xml:space="preserve">Filter response time</t>
  </si>
  <si>
    <t xml:space="preserve">&lt; 1.5s</t>
  </si>
  <si>
    <t xml:space="preserve">Industry BI standard: sub-2s</t>
  </si>
  <si>
    <t xml:space="preserve">Applied 5 different filter combinations, timed each</t>
  </si>
  <si>
    <t xml:space="preserve">Max 1.3s — all filters</t>
  </si>
  <si>
    <t xml:space="preserve">NFR-003</t>
  </si>
  <si>
    <t xml:space="preserve">Accessibility</t>
  </si>
  <si>
    <t xml:space="preserve">Color contrast ratio</t>
  </si>
  <si>
    <t xml:space="preserve">WCAG AA: 4.5:1 text; 3:1 charts</t>
  </si>
  <si>
    <t xml:space="preserve">Blackbaud, Salesforce: WCAG AA compliant</t>
  </si>
  <si>
    <t xml:space="preserve">WebAIM Contrast Checker on all Skye brand color pairs</t>
  </si>
  <si>
    <t xml:space="preserve">All pairs meet AA minimum</t>
  </si>
  <si>
    <t xml:space="preserve">NFR-004</t>
  </si>
  <si>
    <t xml:space="preserve">Font size minimums</t>
  </si>
  <si>
    <t xml:space="preserve">No text &lt; 9pt; KPI labels ≥ 11pt</t>
  </si>
  <si>
    <t xml:space="preserve">Tableau Public default: 10pt</t>
  </si>
  <si>
    <t xml:space="preserve">Inspected all labels in published view</t>
  </si>
  <si>
    <t xml:space="preserve">All labels ≥ 10pt; KPIs at 14pt</t>
  </si>
  <si>
    <t xml:space="preserve">NFR-005</t>
  </si>
  <si>
    <t xml:space="preserve">Color-blind safe palette</t>
  </si>
  <si>
    <t xml:space="preserve">Distinguishable with deuteranopia</t>
  </si>
  <si>
    <t xml:space="preserve">Bloomerang: blue/orange only</t>
  </si>
  <si>
    <t xml:space="preserve">Coblis color-blindness simulator on all 8 brand colors</t>
  </si>
  <si>
    <t xml:space="preserve">All colors distinguishable in deutan/protan modes</t>
  </si>
  <si>
    <t xml:space="preserve">NFR-006</t>
  </si>
  <si>
    <t xml:space="preserve">Usability</t>
  </si>
  <si>
    <t xml:space="preserve">Time-to-insight &lt; 30 seconds</t>
  </si>
  <si>
    <t xml:space="preserve">&lt; 30s per primary question</t>
  </si>
  <si>
    <t xml:space="preserve">Nielsen Norman: 15-45s for expert users</t>
  </si>
  <si>
    <t xml:space="preserve">Live test: Julie &amp; Chloe answer 6 questions each</t>
  </si>
  <si>
    <t xml:space="preserve">All 12 questions answered in &lt; 25 seconds</t>
  </si>
  <si>
    <t xml:space="preserve">Julie + Chloe</t>
  </si>
  <si>
    <t xml:space="preserve">NFR-007</t>
  </si>
  <si>
    <t xml:space="preserve">Metric tooltips on all KPIs</t>
  </si>
  <si>
    <t xml:space="preserve">Every metric has plain-English tooltip</t>
  </si>
  <si>
    <t xml:space="preserve">Salesforce NPSP: tooltips on all KPIs</t>
  </si>
  <si>
    <t xml:space="preserve">Hovered all 8 KPI cards and 15 charts</t>
  </si>
  <si>
    <t xml:space="preserve">All have tooltips; language approved by Julie</t>
  </si>
  <si>
    <t xml:space="preserve">NFR-008</t>
  </si>
  <si>
    <t xml:space="preserve">Mobile / tablet responsiveness</t>
  </si>
  <si>
    <t xml:space="preserve">Readable on 768px (iPad portrait)</t>
  </si>
  <si>
    <t xml:space="preserve">Tableau Public responsive at 768px+</t>
  </si>
  <si>
    <t xml:space="preserve">Tested on iPad Air (Safari) and Chrome DevTools 768px</t>
  </si>
  <si>
    <t xml:space="preserve">All 3 tabs readable; KPI cards stack correctly</t>
  </si>
  <si>
    <t xml:space="preserve">NFR-009</t>
  </si>
  <si>
    <t xml:space="preserve">Data Integrity</t>
  </si>
  <si>
    <t xml:space="preserve">Metric accuracy</t>
  </si>
  <si>
    <t xml:space="preserve">&lt; 0.1% variance vs Finance System</t>
  </si>
  <si>
    <t xml:space="preserve">Blackbaud: guarantees ±0; Tableau: ±float rounding</t>
  </si>
  <si>
    <t xml:space="preserve">Reconciled all KPI totals against Snowflake SUM queries</t>
  </si>
  <si>
    <t xml:space="preserve">Max variance: 0.04% — all within threshold</t>
  </si>
  <si>
    <t xml:space="preserve">BA + Julie</t>
  </si>
  <si>
    <t xml:space="preserve">NFR-010</t>
  </si>
  <si>
    <t xml:space="preserve">Data currency indicator</t>
  </si>
  <si>
    <t xml:space="preserve">Timestamp visible on every view</t>
  </si>
  <si>
    <t xml:space="preserve">All leading nonprofit platforms show data age</t>
  </si>
  <si>
    <t xml:space="preserve">Checked published Tableau view for timestamp presence</t>
  </si>
  <si>
    <t xml:space="preserve">Timestamp visible in dashboard footer — 'Data as of [date]'</t>
  </si>
  <si>
    <t xml:space="preserve">NFR-011</t>
  </si>
  <si>
    <t xml:space="preserve">Security</t>
  </si>
  <si>
    <t xml:space="preserve">No PII in public view</t>
  </si>
  <si>
    <t xml:space="preserve">Zero donor names/emails/addresses</t>
  </si>
  <si>
    <t xml:space="preserve">Blackbaud/Salesforce: row-level security enforced</t>
  </si>
  <si>
    <t xml:space="preserve">Scanned all 3 tabs; searched for name/email patterns</t>
  </si>
  <si>
    <t xml:space="preserve">Zero PII found in any published view</t>
  </si>
  <si>
    <t xml:space="preserve">BA + DGO</t>
  </si>
  <si>
    <t xml:space="preserve">NFR-012</t>
  </si>
  <si>
    <t xml:space="preserve">Maintainability</t>
  </si>
  <si>
    <t xml:space="preserve">Metric change propagation</t>
  </si>
  <si>
    <t xml:space="preserve">One formula edit updates all views</t>
  </si>
  <si>
    <t xml:space="preserve">dbt/semantic layer standard</t>
  </si>
  <si>
    <t xml:space="preserve">Changed Campaign ROI formula in calculated field; verified all views updated</t>
  </si>
  <si>
    <t xml:space="preserve">All 3 ROI views updated with one edit</t>
  </si>
  <si>
    <t xml:space="preserve">UAT EXECUTION SUMMARY</t>
  </si>
  <si>
    <t xml:space="preserve">Total Functional Test Cases Executed</t>
  </si>
  <si>
    <t xml:space="preserve">51</t>
  </si>
  <si>
    <t xml:space="preserve">Passed</t>
  </si>
  <si>
    <t xml:space="preserve">Failed</t>
  </si>
  <si>
    <t xml:space="preserve">0</t>
  </si>
  <si>
    <t xml:space="preserve">Blocked</t>
  </si>
  <si>
    <t xml:space="preserve">Deferred</t>
  </si>
  <si>
    <t xml:space="preserve">Pass Rate</t>
  </si>
  <si>
    <t xml:space="preserve">Total NFR Tests Executed</t>
  </si>
  <si>
    <t xml:space="preserve">12</t>
  </si>
  <si>
    <t xml:space="preserve">NFR Tests Passed</t>
  </si>
  <si>
    <t xml:space="preserve">NFR Pass Rate</t>
  </si>
  <si>
    <t xml:space="preserve">User Stories Tested</t>
  </si>
  <si>
    <t xml:space="preserve">User Stories Fully Accepted</t>
  </si>
  <si>
    <t xml:space="preserve">Outstanding Defects</t>
  </si>
  <si>
    <t xml:space="preserve">UAT Lead</t>
  </si>
  <si>
    <t xml:space="preserve">Business Analyst — Skye Data Advisory</t>
  </si>
  <si>
    <t xml:space="preserve">Fundraising Stakeholder</t>
  </si>
  <si>
    <t xml:space="preserve">Julie Chen — Director of Development</t>
  </si>
  <si>
    <t xml:space="preserve">Marketing Stakeholder</t>
  </si>
  <si>
    <t xml:space="preserve">Chloe Rivera — Director of Marketing</t>
  </si>
  <si>
    <t xml:space="preserve">Test Execution Date</t>
  </si>
  <si>
    <t xml:space="preserve">Recommendation</t>
  </si>
  <si>
    <t xml:space="preserve">APPROVE FOR STAKEHOLDER SIGN-OFF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</si>
</sst>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E768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FF"/>
        <bgColor rgb="FFF4F6F8"/>
      </patternFill>
    </fill>
    <fill>
      <patternFill patternType="solid">
        <fgColor rgb="FF2E7D63"/>
        <bgColor rgb="FF4B6A88"/>
      </patternFill>
    </fill>
    <fill>
      <patternFill patternType="solid">
        <fgColor rgb="FFF4F6F8"/>
        <bgColor rgb="FFFFFFFF"/>
      </patternFill>
    </fill>
    <fill>
      <patternFill patternType="solid">
        <fgColor rgb="FF4B6A88"/>
        <bgColor rgb="FF6E768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0D5DC"/>
      </left>
      <right style="thin">
        <color rgb="FFD0D5DC"/>
      </right>
      <top style="thin">
        <color rgb="FFD0D5DC"/>
      </top>
      <bottom style="thin">
        <color rgb="FFD0D5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7D6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681"/>
      <rgbColor rgb="FF9999FF"/>
      <rgbColor rgb="FF993366"/>
      <rgbColor rgb="FFF4F6F8"/>
      <rgbColor rgb="FFCCFFFF"/>
      <rgbColor rgb="FF660066"/>
      <rgbColor rgb="FFFF8080"/>
      <rgbColor rgb="FF0066CC"/>
      <rgbColor rgb="FFD0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6A88"/>
      <rgbColor rgb="FF969696"/>
      <rgbColor rgb="FF003366"/>
      <rgbColor rgb="FF2E7D63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26"/>
    <col collapsed="false" customWidth="true" hidden="false" outlineLevel="0" max="5" min="5" style="0" width="48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1" min="10" style="0" width="10"/>
    <col collapsed="false" customWidth="true" hidden="false" outlineLevel="0" max="12" min="12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9.5" hidden="false" customHeight="tru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5" t="s">
        <v>25</v>
      </c>
    </row>
    <row r="6" customFormat="false" ht="19.5" hidden="false" customHeight="true" outlineLevel="0" collapsed="false">
      <c r="A6" s="6" t="s">
        <v>26</v>
      </c>
      <c r="B6" s="6" t="s">
        <v>15</v>
      </c>
      <c r="C6" s="6" t="s">
        <v>16</v>
      </c>
      <c r="D6" s="6" t="s">
        <v>17</v>
      </c>
      <c r="E6" s="6" t="s">
        <v>27</v>
      </c>
      <c r="F6" s="6" t="s">
        <v>28</v>
      </c>
      <c r="G6" s="6" t="s">
        <v>20</v>
      </c>
      <c r="H6" s="6" t="s">
        <v>29</v>
      </c>
      <c r="I6" s="6" t="s">
        <v>30</v>
      </c>
      <c r="J6" s="6" t="s">
        <v>23</v>
      </c>
      <c r="K6" s="6" t="s">
        <v>24</v>
      </c>
      <c r="L6" s="5" t="s">
        <v>31</v>
      </c>
    </row>
    <row r="7" customFormat="false" ht="19.5" hidden="false" customHeight="true" outlineLevel="0" collapsed="false">
      <c r="A7" s="4" t="s">
        <v>32</v>
      </c>
      <c r="B7" s="4" t="s">
        <v>15</v>
      </c>
      <c r="C7" s="4" t="s">
        <v>16</v>
      </c>
      <c r="D7" s="4" t="s">
        <v>17</v>
      </c>
      <c r="E7" s="4" t="s">
        <v>33</v>
      </c>
      <c r="F7" s="4" t="s">
        <v>19</v>
      </c>
      <c r="G7" s="4" t="s">
        <v>20</v>
      </c>
      <c r="H7" s="4" t="s">
        <v>34</v>
      </c>
      <c r="I7" s="4" t="s">
        <v>35</v>
      </c>
      <c r="J7" s="4" t="s">
        <v>23</v>
      </c>
      <c r="K7" s="4" t="s">
        <v>24</v>
      </c>
      <c r="L7" s="5" t="s">
        <v>36</v>
      </c>
    </row>
    <row r="8" customFormat="false" ht="19.5" hidden="false" customHeight="true" outlineLevel="0" collapsed="false">
      <c r="A8" s="6" t="s">
        <v>37</v>
      </c>
      <c r="B8" s="6" t="s">
        <v>15</v>
      </c>
      <c r="C8" s="6" t="s">
        <v>16</v>
      </c>
      <c r="D8" s="6" t="s">
        <v>17</v>
      </c>
      <c r="E8" s="6" t="s">
        <v>38</v>
      </c>
      <c r="F8" s="6" t="s">
        <v>28</v>
      </c>
      <c r="G8" s="6" t="s">
        <v>20</v>
      </c>
      <c r="H8" s="6" t="s">
        <v>39</v>
      </c>
      <c r="I8" s="6" t="s">
        <v>40</v>
      </c>
      <c r="J8" s="6" t="s">
        <v>23</v>
      </c>
      <c r="K8" s="6" t="s">
        <v>24</v>
      </c>
      <c r="L8" s="5"/>
    </row>
    <row r="9" customFormat="false" ht="19.5" hidden="false" customHeight="true" outlineLevel="0" collapsed="false">
      <c r="A9" s="4" t="s">
        <v>41</v>
      </c>
      <c r="B9" s="4" t="s">
        <v>15</v>
      </c>
      <c r="C9" s="4" t="s">
        <v>16</v>
      </c>
      <c r="D9" s="4" t="s">
        <v>17</v>
      </c>
      <c r="E9" s="4" t="s">
        <v>42</v>
      </c>
      <c r="F9" s="4" t="s">
        <v>28</v>
      </c>
      <c r="G9" s="4" t="s">
        <v>20</v>
      </c>
      <c r="H9" s="4" t="s">
        <v>43</v>
      </c>
      <c r="I9" s="4" t="s">
        <v>44</v>
      </c>
      <c r="J9" s="4" t="s">
        <v>23</v>
      </c>
      <c r="K9" s="4" t="s">
        <v>24</v>
      </c>
      <c r="L9" s="5" t="s">
        <v>45</v>
      </c>
    </row>
    <row r="10" customFormat="false" ht="19.5" hidden="false" customHeight="true" outlineLevel="0" collapsed="false">
      <c r="A10" s="6" t="s">
        <v>46</v>
      </c>
      <c r="B10" s="6" t="s">
        <v>47</v>
      </c>
      <c r="C10" s="6" t="s">
        <v>16</v>
      </c>
      <c r="D10" s="6" t="s">
        <v>48</v>
      </c>
      <c r="E10" s="6" t="s">
        <v>49</v>
      </c>
      <c r="F10" s="6" t="s">
        <v>28</v>
      </c>
      <c r="G10" s="6" t="s">
        <v>20</v>
      </c>
      <c r="H10" s="6" t="s">
        <v>50</v>
      </c>
      <c r="I10" s="6" t="s">
        <v>51</v>
      </c>
      <c r="J10" s="6" t="s">
        <v>23</v>
      </c>
      <c r="K10" s="6" t="s">
        <v>24</v>
      </c>
      <c r="L10" s="5"/>
    </row>
    <row r="11" customFormat="false" ht="19.5" hidden="false" customHeight="true" outlineLevel="0" collapsed="false">
      <c r="A11" s="4" t="s">
        <v>52</v>
      </c>
      <c r="B11" s="4" t="s">
        <v>47</v>
      </c>
      <c r="C11" s="4" t="s">
        <v>16</v>
      </c>
      <c r="D11" s="4" t="s">
        <v>48</v>
      </c>
      <c r="E11" s="4" t="s">
        <v>53</v>
      </c>
      <c r="F11" s="4" t="s">
        <v>19</v>
      </c>
      <c r="G11" s="4" t="s">
        <v>20</v>
      </c>
      <c r="H11" s="4" t="s">
        <v>54</v>
      </c>
      <c r="I11" s="4" t="s">
        <v>55</v>
      </c>
      <c r="J11" s="4" t="s">
        <v>23</v>
      </c>
      <c r="K11" s="4" t="s">
        <v>24</v>
      </c>
      <c r="L11" s="5"/>
    </row>
    <row r="12" customFormat="false" ht="19.5" hidden="false" customHeight="true" outlineLevel="0" collapsed="false">
      <c r="A12" s="6" t="s">
        <v>56</v>
      </c>
      <c r="B12" s="6" t="s">
        <v>47</v>
      </c>
      <c r="C12" s="6" t="s">
        <v>16</v>
      </c>
      <c r="D12" s="6" t="s">
        <v>48</v>
      </c>
      <c r="E12" s="6" t="s">
        <v>57</v>
      </c>
      <c r="F12" s="6" t="s">
        <v>19</v>
      </c>
      <c r="G12" s="6" t="s">
        <v>20</v>
      </c>
      <c r="H12" s="6" t="s">
        <v>58</v>
      </c>
      <c r="I12" s="6" t="s">
        <v>59</v>
      </c>
      <c r="J12" s="6" t="s">
        <v>23</v>
      </c>
      <c r="K12" s="6" t="s">
        <v>24</v>
      </c>
      <c r="L12" s="5"/>
    </row>
    <row r="13" customFormat="false" ht="19.5" hidden="false" customHeight="true" outlineLevel="0" collapsed="false">
      <c r="A13" s="4" t="s">
        <v>60</v>
      </c>
      <c r="B13" s="4" t="s">
        <v>47</v>
      </c>
      <c r="C13" s="4" t="s">
        <v>16</v>
      </c>
      <c r="D13" s="4" t="s">
        <v>48</v>
      </c>
      <c r="E13" s="4" t="s">
        <v>61</v>
      </c>
      <c r="F13" s="4" t="s">
        <v>62</v>
      </c>
      <c r="G13" s="4" t="s">
        <v>20</v>
      </c>
      <c r="H13" s="4" t="s">
        <v>63</v>
      </c>
      <c r="I13" s="4" t="s">
        <v>64</v>
      </c>
      <c r="J13" s="4" t="s">
        <v>23</v>
      </c>
      <c r="K13" s="4" t="s">
        <v>24</v>
      </c>
      <c r="L13" s="5" t="s">
        <v>65</v>
      </c>
    </row>
    <row r="14" customFormat="false" ht="19.5" hidden="false" customHeight="true" outlineLevel="0" collapsed="false">
      <c r="A14" s="6" t="s">
        <v>66</v>
      </c>
      <c r="B14" s="6" t="s">
        <v>47</v>
      </c>
      <c r="C14" s="6" t="s">
        <v>16</v>
      </c>
      <c r="D14" s="6" t="s">
        <v>48</v>
      </c>
      <c r="E14" s="6" t="s">
        <v>67</v>
      </c>
      <c r="F14" s="6" t="s">
        <v>28</v>
      </c>
      <c r="G14" s="6" t="s">
        <v>20</v>
      </c>
      <c r="H14" s="6" t="s">
        <v>68</v>
      </c>
      <c r="I14" s="6" t="s">
        <v>69</v>
      </c>
      <c r="J14" s="6" t="s">
        <v>23</v>
      </c>
      <c r="K14" s="6" t="s">
        <v>24</v>
      </c>
      <c r="L14" s="5" t="s">
        <v>70</v>
      </c>
    </row>
    <row r="15" customFormat="false" ht="19.5" hidden="false" customHeight="true" outlineLevel="0" collapsed="false">
      <c r="A15" s="4" t="s">
        <v>71</v>
      </c>
      <c r="B15" s="4" t="s">
        <v>72</v>
      </c>
      <c r="C15" s="4" t="s">
        <v>16</v>
      </c>
      <c r="D15" s="4" t="s">
        <v>73</v>
      </c>
      <c r="E15" s="4" t="s">
        <v>74</v>
      </c>
      <c r="F15" s="4" t="s">
        <v>28</v>
      </c>
      <c r="G15" s="4" t="s">
        <v>20</v>
      </c>
      <c r="H15" s="4" t="s">
        <v>75</v>
      </c>
      <c r="I15" s="4" t="s">
        <v>76</v>
      </c>
      <c r="J15" s="4" t="s">
        <v>23</v>
      </c>
      <c r="K15" s="4" t="s">
        <v>24</v>
      </c>
      <c r="L15" s="5"/>
    </row>
    <row r="16" customFormat="false" ht="19.5" hidden="false" customHeight="true" outlineLevel="0" collapsed="false">
      <c r="A16" s="6" t="s">
        <v>77</v>
      </c>
      <c r="B16" s="6" t="s">
        <v>72</v>
      </c>
      <c r="C16" s="6" t="s">
        <v>16</v>
      </c>
      <c r="D16" s="6" t="s">
        <v>73</v>
      </c>
      <c r="E16" s="6" t="s">
        <v>78</v>
      </c>
      <c r="F16" s="6" t="s">
        <v>62</v>
      </c>
      <c r="G16" s="6" t="s">
        <v>20</v>
      </c>
      <c r="H16" s="6" t="s">
        <v>79</v>
      </c>
      <c r="I16" s="6" t="s">
        <v>80</v>
      </c>
      <c r="J16" s="6" t="s">
        <v>23</v>
      </c>
      <c r="K16" s="6" t="s">
        <v>24</v>
      </c>
      <c r="L16" s="5" t="s">
        <v>81</v>
      </c>
    </row>
    <row r="17" customFormat="false" ht="19.5" hidden="false" customHeight="true" outlineLevel="0" collapsed="false">
      <c r="A17" s="4" t="s">
        <v>82</v>
      </c>
      <c r="B17" s="4" t="s">
        <v>72</v>
      </c>
      <c r="C17" s="4" t="s">
        <v>16</v>
      </c>
      <c r="D17" s="4" t="s">
        <v>73</v>
      </c>
      <c r="E17" s="4" t="s">
        <v>83</v>
      </c>
      <c r="F17" s="4" t="s">
        <v>28</v>
      </c>
      <c r="G17" s="4" t="s">
        <v>20</v>
      </c>
      <c r="H17" s="4" t="s">
        <v>84</v>
      </c>
      <c r="I17" s="4" t="s">
        <v>85</v>
      </c>
      <c r="J17" s="4" t="s">
        <v>23</v>
      </c>
      <c r="K17" s="4" t="s">
        <v>24</v>
      </c>
      <c r="L17" s="5"/>
    </row>
    <row r="18" customFormat="false" ht="19.5" hidden="false" customHeight="true" outlineLevel="0" collapsed="false">
      <c r="A18" s="6" t="s">
        <v>86</v>
      </c>
      <c r="B18" s="6" t="s">
        <v>72</v>
      </c>
      <c r="C18" s="6" t="s">
        <v>16</v>
      </c>
      <c r="D18" s="6" t="s">
        <v>73</v>
      </c>
      <c r="E18" s="6" t="s">
        <v>87</v>
      </c>
      <c r="F18" s="6" t="s">
        <v>62</v>
      </c>
      <c r="G18" s="6" t="s">
        <v>20</v>
      </c>
      <c r="H18" s="6" t="s">
        <v>88</v>
      </c>
      <c r="I18" s="6" t="s">
        <v>89</v>
      </c>
      <c r="J18" s="6" t="s">
        <v>23</v>
      </c>
      <c r="K18" s="6" t="s">
        <v>24</v>
      </c>
      <c r="L18" s="5"/>
    </row>
    <row r="19" customFormat="false" ht="19.5" hidden="false" customHeight="true" outlineLevel="0" collapsed="false">
      <c r="A19" s="4" t="s">
        <v>90</v>
      </c>
      <c r="B19" s="4" t="s">
        <v>91</v>
      </c>
      <c r="C19" s="4" t="s">
        <v>16</v>
      </c>
      <c r="D19" s="4" t="s">
        <v>92</v>
      </c>
      <c r="E19" s="4" t="s">
        <v>93</v>
      </c>
      <c r="F19" s="4" t="s">
        <v>62</v>
      </c>
      <c r="G19" s="4" t="s">
        <v>20</v>
      </c>
      <c r="H19" s="4" t="s">
        <v>94</v>
      </c>
      <c r="I19" s="4" t="s">
        <v>95</v>
      </c>
      <c r="J19" s="4" t="s">
        <v>23</v>
      </c>
      <c r="K19" s="4" t="s">
        <v>24</v>
      </c>
      <c r="L19" s="5"/>
    </row>
    <row r="20" customFormat="false" ht="19.5" hidden="false" customHeight="true" outlineLevel="0" collapsed="false">
      <c r="A20" s="6" t="s">
        <v>96</v>
      </c>
      <c r="B20" s="6" t="s">
        <v>91</v>
      </c>
      <c r="C20" s="6" t="s">
        <v>16</v>
      </c>
      <c r="D20" s="6" t="s">
        <v>92</v>
      </c>
      <c r="E20" s="6" t="s">
        <v>97</v>
      </c>
      <c r="F20" s="6" t="s">
        <v>62</v>
      </c>
      <c r="G20" s="6" t="s">
        <v>20</v>
      </c>
      <c r="H20" s="6" t="s">
        <v>98</v>
      </c>
      <c r="I20" s="6" t="s">
        <v>99</v>
      </c>
      <c r="J20" s="6" t="s">
        <v>23</v>
      </c>
      <c r="K20" s="6" t="s">
        <v>24</v>
      </c>
      <c r="L20" s="5" t="s">
        <v>100</v>
      </c>
    </row>
    <row r="21" customFormat="false" ht="19.5" hidden="false" customHeight="true" outlineLevel="0" collapsed="false">
      <c r="A21" s="4" t="s">
        <v>101</v>
      </c>
      <c r="B21" s="4" t="s">
        <v>91</v>
      </c>
      <c r="C21" s="4" t="s">
        <v>16</v>
      </c>
      <c r="D21" s="4" t="s">
        <v>92</v>
      </c>
      <c r="E21" s="4" t="s">
        <v>102</v>
      </c>
      <c r="F21" s="4" t="s">
        <v>28</v>
      </c>
      <c r="G21" s="4" t="s">
        <v>20</v>
      </c>
      <c r="H21" s="4" t="s">
        <v>103</v>
      </c>
      <c r="I21" s="4" t="s">
        <v>104</v>
      </c>
      <c r="J21" s="4" t="s">
        <v>23</v>
      </c>
      <c r="K21" s="4" t="s">
        <v>24</v>
      </c>
      <c r="L21" s="5"/>
    </row>
    <row r="22" customFormat="false" ht="19.5" hidden="false" customHeight="true" outlineLevel="0" collapsed="false">
      <c r="A22" s="6" t="s">
        <v>105</v>
      </c>
      <c r="B22" s="6" t="s">
        <v>91</v>
      </c>
      <c r="C22" s="6" t="s">
        <v>16</v>
      </c>
      <c r="D22" s="6" t="s">
        <v>92</v>
      </c>
      <c r="E22" s="6" t="s">
        <v>106</v>
      </c>
      <c r="F22" s="6" t="s">
        <v>28</v>
      </c>
      <c r="G22" s="6" t="s">
        <v>20</v>
      </c>
      <c r="H22" s="6" t="s">
        <v>107</v>
      </c>
      <c r="I22" s="6" t="s">
        <v>108</v>
      </c>
      <c r="J22" s="6" t="s">
        <v>23</v>
      </c>
      <c r="K22" s="6" t="s">
        <v>24</v>
      </c>
      <c r="L22" s="5" t="s">
        <v>109</v>
      </c>
    </row>
    <row r="23" customFormat="false" ht="19.5" hidden="false" customHeight="true" outlineLevel="0" collapsed="false">
      <c r="A23" s="4" t="s">
        <v>110</v>
      </c>
      <c r="B23" s="4" t="s">
        <v>91</v>
      </c>
      <c r="C23" s="4" t="s">
        <v>16</v>
      </c>
      <c r="D23" s="4" t="s">
        <v>92</v>
      </c>
      <c r="E23" s="4" t="s">
        <v>111</v>
      </c>
      <c r="F23" s="4" t="s">
        <v>62</v>
      </c>
      <c r="G23" s="4" t="s">
        <v>20</v>
      </c>
      <c r="H23" s="4" t="s">
        <v>112</v>
      </c>
      <c r="I23" s="4" t="s">
        <v>113</v>
      </c>
      <c r="J23" s="4" t="s">
        <v>23</v>
      </c>
      <c r="K23" s="4" t="s">
        <v>24</v>
      </c>
      <c r="L23" s="5" t="s">
        <v>114</v>
      </c>
    </row>
    <row r="24" customFormat="false" ht="19.5" hidden="false" customHeight="true" outlineLevel="0" collapsed="false">
      <c r="A24" s="6" t="s">
        <v>115</v>
      </c>
      <c r="B24" s="6" t="s">
        <v>116</v>
      </c>
      <c r="C24" s="6" t="s">
        <v>16</v>
      </c>
      <c r="D24" s="6" t="s">
        <v>117</v>
      </c>
      <c r="E24" s="6" t="s">
        <v>118</v>
      </c>
      <c r="F24" s="6" t="s">
        <v>28</v>
      </c>
      <c r="G24" s="6" t="s">
        <v>20</v>
      </c>
      <c r="H24" s="6" t="s">
        <v>119</v>
      </c>
      <c r="I24" s="6" t="s">
        <v>120</v>
      </c>
      <c r="J24" s="6" t="s">
        <v>23</v>
      </c>
      <c r="K24" s="6" t="s">
        <v>24</v>
      </c>
      <c r="L24" s="5"/>
    </row>
    <row r="25" customFormat="false" ht="19.5" hidden="false" customHeight="true" outlineLevel="0" collapsed="false">
      <c r="A25" s="4" t="s">
        <v>121</v>
      </c>
      <c r="B25" s="4" t="s">
        <v>116</v>
      </c>
      <c r="C25" s="4" t="s">
        <v>16</v>
      </c>
      <c r="D25" s="4" t="s">
        <v>117</v>
      </c>
      <c r="E25" s="4" t="s">
        <v>122</v>
      </c>
      <c r="F25" s="4" t="s">
        <v>62</v>
      </c>
      <c r="G25" s="4" t="s">
        <v>20</v>
      </c>
      <c r="H25" s="4" t="s">
        <v>123</v>
      </c>
      <c r="I25" s="4" t="s">
        <v>124</v>
      </c>
      <c r="J25" s="4" t="s">
        <v>23</v>
      </c>
      <c r="K25" s="4" t="s">
        <v>24</v>
      </c>
      <c r="L25" s="5"/>
    </row>
    <row r="26" customFormat="false" ht="19.5" hidden="false" customHeight="true" outlineLevel="0" collapsed="false">
      <c r="A26" s="6" t="s">
        <v>125</v>
      </c>
      <c r="B26" s="6" t="s">
        <v>116</v>
      </c>
      <c r="C26" s="6" t="s">
        <v>16</v>
      </c>
      <c r="D26" s="6" t="s">
        <v>117</v>
      </c>
      <c r="E26" s="6" t="s">
        <v>126</v>
      </c>
      <c r="F26" s="6" t="s">
        <v>28</v>
      </c>
      <c r="G26" s="6" t="s">
        <v>20</v>
      </c>
      <c r="H26" s="6" t="s">
        <v>127</v>
      </c>
      <c r="I26" s="6" t="s">
        <v>128</v>
      </c>
      <c r="J26" s="6" t="s">
        <v>23</v>
      </c>
      <c r="K26" s="6" t="s">
        <v>24</v>
      </c>
      <c r="L26" s="5" t="s">
        <v>129</v>
      </c>
    </row>
    <row r="27" customFormat="false" ht="19.5" hidden="false" customHeight="true" outlineLevel="0" collapsed="false">
      <c r="A27" s="4" t="s">
        <v>130</v>
      </c>
      <c r="B27" s="4" t="s">
        <v>116</v>
      </c>
      <c r="C27" s="4" t="s">
        <v>16</v>
      </c>
      <c r="D27" s="4" t="s">
        <v>117</v>
      </c>
      <c r="E27" s="4" t="s">
        <v>131</v>
      </c>
      <c r="F27" s="4" t="s">
        <v>28</v>
      </c>
      <c r="G27" s="4" t="s">
        <v>20</v>
      </c>
      <c r="H27" s="4" t="s">
        <v>132</v>
      </c>
      <c r="I27" s="4" t="s">
        <v>133</v>
      </c>
      <c r="J27" s="4" t="s">
        <v>23</v>
      </c>
      <c r="K27" s="4" t="s">
        <v>24</v>
      </c>
      <c r="L27" s="5"/>
    </row>
    <row r="28" customFormat="false" ht="19.5" hidden="false" customHeight="true" outlineLevel="0" collapsed="false">
      <c r="A28" s="6" t="s">
        <v>134</v>
      </c>
      <c r="B28" s="6" t="s">
        <v>135</v>
      </c>
      <c r="C28" s="6" t="s">
        <v>136</v>
      </c>
      <c r="D28" s="6" t="s">
        <v>137</v>
      </c>
      <c r="E28" s="6" t="s">
        <v>138</v>
      </c>
      <c r="F28" s="6" t="s">
        <v>62</v>
      </c>
      <c r="G28" s="6" t="s">
        <v>20</v>
      </c>
      <c r="H28" s="6" t="s">
        <v>139</v>
      </c>
      <c r="I28" s="6" t="s">
        <v>140</v>
      </c>
      <c r="J28" s="6" t="s">
        <v>23</v>
      </c>
      <c r="K28" s="6" t="s">
        <v>24</v>
      </c>
      <c r="L28" s="5"/>
    </row>
    <row r="29" customFormat="false" ht="19.5" hidden="false" customHeight="true" outlineLevel="0" collapsed="false">
      <c r="A29" s="4" t="s">
        <v>141</v>
      </c>
      <c r="B29" s="4" t="s">
        <v>135</v>
      </c>
      <c r="C29" s="4" t="s">
        <v>136</v>
      </c>
      <c r="D29" s="4" t="s">
        <v>137</v>
      </c>
      <c r="E29" s="4" t="s">
        <v>142</v>
      </c>
      <c r="F29" s="4" t="s">
        <v>62</v>
      </c>
      <c r="G29" s="4" t="s">
        <v>20</v>
      </c>
      <c r="H29" s="4" t="s">
        <v>143</v>
      </c>
      <c r="I29" s="4" t="s">
        <v>144</v>
      </c>
      <c r="J29" s="4" t="s">
        <v>23</v>
      </c>
      <c r="K29" s="4" t="s">
        <v>24</v>
      </c>
      <c r="L29" s="5" t="s">
        <v>145</v>
      </c>
    </row>
    <row r="30" customFormat="false" ht="19.5" hidden="false" customHeight="true" outlineLevel="0" collapsed="false">
      <c r="A30" s="6" t="s">
        <v>146</v>
      </c>
      <c r="B30" s="6" t="s">
        <v>135</v>
      </c>
      <c r="C30" s="6" t="s">
        <v>136</v>
      </c>
      <c r="D30" s="6" t="s">
        <v>137</v>
      </c>
      <c r="E30" s="6" t="s">
        <v>147</v>
      </c>
      <c r="F30" s="6" t="s">
        <v>62</v>
      </c>
      <c r="G30" s="6" t="s">
        <v>20</v>
      </c>
      <c r="H30" s="6" t="s">
        <v>148</v>
      </c>
      <c r="I30" s="6" t="s">
        <v>149</v>
      </c>
      <c r="J30" s="6" t="s">
        <v>23</v>
      </c>
      <c r="K30" s="6" t="s">
        <v>24</v>
      </c>
      <c r="L30" s="5"/>
    </row>
    <row r="31" customFormat="false" ht="19.5" hidden="false" customHeight="true" outlineLevel="0" collapsed="false">
      <c r="A31" s="4" t="s">
        <v>150</v>
      </c>
      <c r="B31" s="4" t="s">
        <v>135</v>
      </c>
      <c r="C31" s="4" t="s">
        <v>136</v>
      </c>
      <c r="D31" s="4" t="s">
        <v>137</v>
      </c>
      <c r="E31" s="4" t="s">
        <v>151</v>
      </c>
      <c r="F31" s="4" t="s">
        <v>28</v>
      </c>
      <c r="G31" s="4" t="s">
        <v>20</v>
      </c>
      <c r="H31" s="4" t="s">
        <v>152</v>
      </c>
      <c r="I31" s="4" t="s">
        <v>153</v>
      </c>
      <c r="J31" s="4" t="s">
        <v>23</v>
      </c>
      <c r="K31" s="4" t="s">
        <v>24</v>
      </c>
      <c r="L31" s="5" t="s">
        <v>154</v>
      </c>
    </row>
    <row r="32" customFormat="false" ht="19.5" hidden="false" customHeight="true" outlineLevel="0" collapsed="false">
      <c r="A32" s="6" t="s">
        <v>155</v>
      </c>
      <c r="B32" s="6" t="s">
        <v>135</v>
      </c>
      <c r="C32" s="6" t="s">
        <v>136</v>
      </c>
      <c r="D32" s="6" t="s">
        <v>137</v>
      </c>
      <c r="E32" s="6" t="s">
        <v>156</v>
      </c>
      <c r="F32" s="6" t="s">
        <v>62</v>
      </c>
      <c r="G32" s="6" t="s">
        <v>20</v>
      </c>
      <c r="H32" s="6" t="s">
        <v>157</v>
      </c>
      <c r="I32" s="6" t="s">
        <v>158</v>
      </c>
      <c r="J32" s="6" t="s">
        <v>23</v>
      </c>
      <c r="K32" s="6" t="s">
        <v>24</v>
      </c>
      <c r="L32" s="5"/>
    </row>
    <row r="33" customFormat="false" ht="19.5" hidden="false" customHeight="true" outlineLevel="0" collapsed="false">
      <c r="A33" s="4" t="s">
        <v>159</v>
      </c>
      <c r="B33" s="4" t="s">
        <v>160</v>
      </c>
      <c r="C33" s="4" t="s">
        <v>136</v>
      </c>
      <c r="D33" s="4" t="s">
        <v>161</v>
      </c>
      <c r="E33" s="4" t="s">
        <v>162</v>
      </c>
      <c r="F33" s="4" t="s">
        <v>28</v>
      </c>
      <c r="G33" s="4" t="s">
        <v>20</v>
      </c>
      <c r="H33" s="4" t="s">
        <v>163</v>
      </c>
      <c r="I33" s="4" t="s">
        <v>164</v>
      </c>
      <c r="J33" s="4" t="s">
        <v>23</v>
      </c>
      <c r="K33" s="4" t="s">
        <v>24</v>
      </c>
      <c r="L33" s="5"/>
    </row>
    <row r="34" customFormat="false" ht="19.5" hidden="false" customHeight="true" outlineLevel="0" collapsed="false">
      <c r="A34" s="6" t="s">
        <v>165</v>
      </c>
      <c r="B34" s="6" t="s">
        <v>160</v>
      </c>
      <c r="C34" s="6" t="s">
        <v>136</v>
      </c>
      <c r="D34" s="6" t="s">
        <v>161</v>
      </c>
      <c r="E34" s="6" t="s">
        <v>166</v>
      </c>
      <c r="F34" s="6" t="s">
        <v>19</v>
      </c>
      <c r="G34" s="6" t="s">
        <v>20</v>
      </c>
      <c r="H34" s="6" t="s">
        <v>167</v>
      </c>
      <c r="I34" s="6" t="s">
        <v>168</v>
      </c>
      <c r="J34" s="6" t="s">
        <v>23</v>
      </c>
      <c r="K34" s="6" t="s">
        <v>24</v>
      </c>
      <c r="L34" s="5" t="s">
        <v>169</v>
      </c>
    </row>
    <row r="35" customFormat="false" ht="19.5" hidden="false" customHeight="true" outlineLevel="0" collapsed="false">
      <c r="A35" s="4" t="s">
        <v>170</v>
      </c>
      <c r="B35" s="4" t="s">
        <v>160</v>
      </c>
      <c r="C35" s="4" t="s">
        <v>136</v>
      </c>
      <c r="D35" s="4" t="s">
        <v>161</v>
      </c>
      <c r="E35" s="4" t="s">
        <v>171</v>
      </c>
      <c r="F35" s="4" t="s">
        <v>19</v>
      </c>
      <c r="G35" s="4" t="s">
        <v>20</v>
      </c>
      <c r="H35" s="4" t="s">
        <v>172</v>
      </c>
      <c r="I35" s="4" t="s">
        <v>173</v>
      </c>
      <c r="J35" s="4" t="s">
        <v>23</v>
      </c>
      <c r="K35" s="4" t="s">
        <v>24</v>
      </c>
      <c r="L35" s="5"/>
    </row>
    <row r="36" customFormat="false" ht="19.5" hidden="false" customHeight="true" outlineLevel="0" collapsed="false">
      <c r="A36" s="6" t="s">
        <v>174</v>
      </c>
      <c r="B36" s="6" t="s">
        <v>160</v>
      </c>
      <c r="C36" s="6" t="s">
        <v>136</v>
      </c>
      <c r="D36" s="6" t="s">
        <v>161</v>
      </c>
      <c r="E36" s="6" t="s">
        <v>175</v>
      </c>
      <c r="F36" s="6" t="s">
        <v>62</v>
      </c>
      <c r="G36" s="6" t="s">
        <v>20</v>
      </c>
      <c r="H36" s="6" t="s">
        <v>176</v>
      </c>
      <c r="I36" s="6" t="s">
        <v>177</v>
      </c>
      <c r="J36" s="6" t="s">
        <v>23</v>
      </c>
      <c r="K36" s="6" t="s">
        <v>24</v>
      </c>
      <c r="L36" s="5"/>
    </row>
    <row r="37" customFormat="false" ht="19.5" hidden="false" customHeight="true" outlineLevel="0" collapsed="false">
      <c r="A37" s="4" t="s">
        <v>178</v>
      </c>
      <c r="B37" s="4" t="s">
        <v>179</v>
      </c>
      <c r="C37" s="4" t="s">
        <v>136</v>
      </c>
      <c r="D37" s="4" t="s">
        <v>180</v>
      </c>
      <c r="E37" s="4" t="s">
        <v>181</v>
      </c>
      <c r="F37" s="4" t="s">
        <v>19</v>
      </c>
      <c r="G37" s="4" t="s">
        <v>20</v>
      </c>
      <c r="H37" s="4" t="s">
        <v>182</v>
      </c>
      <c r="I37" s="4" t="s">
        <v>183</v>
      </c>
      <c r="J37" s="4" t="s">
        <v>23</v>
      </c>
      <c r="K37" s="4" t="s">
        <v>24</v>
      </c>
      <c r="L37" s="5"/>
    </row>
    <row r="38" customFormat="false" ht="19.5" hidden="false" customHeight="true" outlineLevel="0" collapsed="false">
      <c r="A38" s="6" t="s">
        <v>184</v>
      </c>
      <c r="B38" s="6" t="s">
        <v>179</v>
      </c>
      <c r="C38" s="6" t="s">
        <v>136</v>
      </c>
      <c r="D38" s="6" t="s">
        <v>180</v>
      </c>
      <c r="E38" s="6" t="s">
        <v>185</v>
      </c>
      <c r="F38" s="6" t="s">
        <v>19</v>
      </c>
      <c r="G38" s="6" t="s">
        <v>20</v>
      </c>
      <c r="H38" s="6" t="s">
        <v>186</v>
      </c>
      <c r="I38" s="6" t="s">
        <v>187</v>
      </c>
      <c r="J38" s="6" t="s">
        <v>23</v>
      </c>
      <c r="K38" s="6" t="s">
        <v>24</v>
      </c>
      <c r="L38" s="5"/>
    </row>
    <row r="39" customFormat="false" ht="19.5" hidden="false" customHeight="true" outlineLevel="0" collapsed="false">
      <c r="A39" s="4" t="s">
        <v>188</v>
      </c>
      <c r="B39" s="4" t="s">
        <v>179</v>
      </c>
      <c r="C39" s="4" t="s">
        <v>136</v>
      </c>
      <c r="D39" s="4" t="s">
        <v>180</v>
      </c>
      <c r="E39" s="4" t="s">
        <v>189</v>
      </c>
      <c r="F39" s="4" t="s">
        <v>28</v>
      </c>
      <c r="G39" s="4" t="s">
        <v>20</v>
      </c>
      <c r="H39" s="4" t="s">
        <v>190</v>
      </c>
      <c r="I39" s="4" t="s">
        <v>191</v>
      </c>
      <c r="J39" s="4" t="s">
        <v>23</v>
      </c>
      <c r="K39" s="4" t="s">
        <v>24</v>
      </c>
      <c r="L39" s="5"/>
    </row>
    <row r="40" customFormat="false" ht="19.5" hidden="false" customHeight="true" outlineLevel="0" collapsed="false">
      <c r="A40" s="6" t="s">
        <v>192</v>
      </c>
      <c r="B40" s="6" t="s">
        <v>179</v>
      </c>
      <c r="C40" s="6" t="s">
        <v>136</v>
      </c>
      <c r="D40" s="6" t="s">
        <v>180</v>
      </c>
      <c r="E40" s="6" t="s">
        <v>193</v>
      </c>
      <c r="F40" s="6" t="s">
        <v>62</v>
      </c>
      <c r="G40" s="6" t="s">
        <v>20</v>
      </c>
      <c r="H40" s="6" t="s">
        <v>194</v>
      </c>
      <c r="I40" s="6" t="s">
        <v>195</v>
      </c>
      <c r="J40" s="6" t="s">
        <v>23</v>
      </c>
      <c r="K40" s="6" t="s">
        <v>24</v>
      </c>
      <c r="L40" s="5"/>
    </row>
    <row r="41" customFormat="false" ht="19.5" hidden="false" customHeight="true" outlineLevel="0" collapsed="false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200</v>
      </c>
      <c r="F41" s="4" t="s">
        <v>19</v>
      </c>
      <c r="G41" s="4" t="s">
        <v>20</v>
      </c>
      <c r="H41" s="4" t="s">
        <v>201</v>
      </c>
      <c r="I41" s="4" t="s">
        <v>202</v>
      </c>
      <c r="J41" s="4" t="s">
        <v>23</v>
      </c>
      <c r="K41" s="4" t="s">
        <v>24</v>
      </c>
      <c r="L41" s="5"/>
    </row>
    <row r="42" customFormat="false" ht="19.5" hidden="false" customHeight="true" outlineLevel="0" collapsed="false">
      <c r="A42" s="6" t="s">
        <v>203</v>
      </c>
      <c r="B42" s="6" t="s">
        <v>197</v>
      </c>
      <c r="C42" s="6" t="s">
        <v>198</v>
      </c>
      <c r="D42" s="6" t="s">
        <v>199</v>
      </c>
      <c r="E42" s="6" t="s">
        <v>204</v>
      </c>
      <c r="F42" s="6" t="s">
        <v>19</v>
      </c>
      <c r="G42" s="6" t="s">
        <v>20</v>
      </c>
      <c r="H42" s="6" t="s">
        <v>205</v>
      </c>
      <c r="I42" s="6" t="s">
        <v>206</v>
      </c>
      <c r="J42" s="6" t="s">
        <v>23</v>
      </c>
      <c r="K42" s="6" t="s">
        <v>24</v>
      </c>
      <c r="L42" s="5" t="s">
        <v>207</v>
      </c>
    </row>
    <row r="43" customFormat="false" ht="19.5" hidden="false" customHeight="true" outlineLevel="0" collapsed="false">
      <c r="A43" s="4" t="s">
        <v>208</v>
      </c>
      <c r="B43" s="4" t="s">
        <v>197</v>
      </c>
      <c r="C43" s="4" t="s">
        <v>198</v>
      </c>
      <c r="D43" s="4" t="s">
        <v>199</v>
      </c>
      <c r="E43" s="4" t="s">
        <v>209</v>
      </c>
      <c r="F43" s="4" t="s">
        <v>28</v>
      </c>
      <c r="G43" s="4" t="s">
        <v>20</v>
      </c>
      <c r="H43" s="4" t="s">
        <v>210</v>
      </c>
      <c r="I43" s="4" t="s">
        <v>211</v>
      </c>
      <c r="J43" s="4" t="s">
        <v>23</v>
      </c>
      <c r="K43" s="4" t="s">
        <v>24</v>
      </c>
      <c r="L43" s="5"/>
    </row>
    <row r="44" customFormat="false" ht="19.5" hidden="false" customHeight="true" outlineLevel="0" collapsed="false">
      <c r="A44" s="6" t="s">
        <v>212</v>
      </c>
      <c r="B44" s="6" t="s">
        <v>197</v>
      </c>
      <c r="C44" s="6" t="s">
        <v>198</v>
      </c>
      <c r="D44" s="6" t="s">
        <v>199</v>
      </c>
      <c r="E44" s="6" t="s">
        <v>213</v>
      </c>
      <c r="F44" s="6" t="s">
        <v>19</v>
      </c>
      <c r="G44" s="6" t="s">
        <v>20</v>
      </c>
      <c r="H44" s="6" t="s">
        <v>214</v>
      </c>
      <c r="I44" s="6" t="s">
        <v>215</v>
      </c>
      <c r="J44" s="6" t="s">
        <v>23</v>
      </c>
      <c r="K44" s="6" t="s">
        <v>24</v>
      </c>
      <c r="L44" s="5" t="s">
        <v>216</v>
      </c>
    </row>
    <row r="45" customFormat="false" ht="19.5" hidden="false" customHeight="true" outlineLevel="0" collapsed="false">
      <c r="A45" s="4" t="s">
        <v>217</v>
      </c>
      <c r="B45" s="4" t="s">
        <v>218</v>
      </c>
      <c r="C45" s="4" t="s">
        <v>198</v>
      </c>
      <c r="D45" s="4" t="s">
        <v>219</v>
      </c>
      <c r="E45" s="4" t="s">
        <v>220</v>
      </c>
      <c r="F45" s="4" t="s">
        <v>28</v>
      </c>
      <c r="G45" s="4" t="s">
        <v>20</v>
      </c>
      <c r="H45" s="4" t="s">
        <v>221</v>
      </c>
      <c r="I45" s="4" t="s">
        <v>222</v>
      </c>
      <c r="J45" s="4" t="s">
        <v>23</v>
      </c>
      <c r="K45" s="4" t="s">
        <v>24</v>
      </c>
      <c r="L45" s="5"/>
    </row>
    <row r="46" customFormat="false" ht="19.5" hidden="false" customHeight="true" outlineLevel="0" collapsed="false">
      <c r="A46" s="6" t="s">
        <v>223</v>
      </c>
      <c r="B46" s="6" t="s">
        <v>218</v>
      </c>
      <c r="C46" s="6" t="s">
        <v>198</v>
      </c>
      <c r="D46" s="6" t="s">
        <v>219</v>
      </c>
      <c r="E46" s="6" t="s">
        <v>224</v>
      </c>
      <c r="F46" s="6" t="s">
        <v>19</v>
      </c>
      <c r="G46" s="6" t="s">
        <v>20</v>
      </c>
      <c r="H46" s="6" t="s">
        <v>225</v>
      </c>
      <c r="I46" s="6" t="s">
        <v>226</v>
      </c>
      <c r="J46" s="6" t="s">
        <v>23</v>
      </c>
      <c r="K46" s="6" t="s">
        <v>24</v>
      </c>
      <c r="L46" s="5"/>
    </row>
    <row r="47" customFormat="false" ht="19.5" hidden="false" customHeight="true" outlineLevel="0" collapsed="false">
      <c r="A47" s="4" t="s">
        <v>227</v>
      </c>
      <c r="B47" s="4" t="s">
        <v>218</v>
      </c>
      <c r="C47" s="4" t="s">
        <v>198</v>
      </c>
      <c r="D47" s="4" t="s">
        <v>219</v>
      </c>
      <c r="E47" s="4" t="s">
        <v>228</v>
      </c>
      <c r="F47" s="4" t="s">
        <v>19</v>
      </c>
      <c r="G47" s="4" t="s">
        <v>20</v>
      </c>
      <c r="H47" s="4" t="s">
        <v>112</v>
      </c>
      <c r="I47" s="4" t="s">
        <v>229</v>
      </c>
      <c r="J47" s="4" t="s">
        <v>23</v>
      </c>
      <c r="K47" s="4" t="s">
        <v>24</v>
      </c>
      <c r="L47" s="5"/>
    </row>
    <row r="48" customFormat="false" ht="19.5" hidden="false" customHeight="true" outlineLevel="0" collapsed="false">
      <c r="A48" s="6" t="s">
        <v>230</v>
      </c>
      <c r="B48" s="6" t="s">
        <v>218</v>
      </c>
      <c r="C48" s="6" t="s">
        <v>198</v>
      </c>
      <c r="D48" s="6" t="s">
        <v>219</v>
      </c>
      <c r="E48" s="6" t="s">
        <v>231</v>
      </c>
      <c r="F48" s="6" t="s">
        <v>28</v>
      </c>
      <c r="G48" s="6" t="s">
        <v>20</v>
      </c>
      <c r="H48" s="6" t="s">
        <v>232</v>
      </c>
      <c r="I48" s="6" t="s">
        <v>233</v>
      </c>
      <c r="J48" s="6" t="s">
        <v>23</v>
      </c>
      <c r="K48" s="6" t="s">
        <v>24</v>
      </c>
      <c r="L48" s="5"/>
    </row>
    <row r="49" customFormat="false" ht="19.5" hidden="false" customHeight="true" outlineLevel="0" collapsed="false">
      <c r="A49" s="4" t="s">
        <v>234</v>
      </c>
      <c r="B49" s="4" t="s">
        <v>218</v>
      </c>
      <c r="C49" s="4" t="s">
        <v>198</v>
      </c>
      <c r="D49" s="4" t="s">
        <v>219</v>
      </c>
      <c r="E49" s="4" t="s">
        <v>235</v>
      </c>
      <c r="F49" s="4" t="s">
        <v>28</v>
      </c>
      <c r="G49" s="4" t="s">
        <v>20</v>
      </c>
      <c r="H49" s="4" t="s">
        <v>236</v>
      </c>
      <c r="I49" s="4" t="s">
        <v>237</v>
      </c>
      <c r="J49" s="4" t="s">
        <v>23</v>
      </c>
      <c r="K49" s="4" t="s">
        <v>24</v>
      </c>
      <c r="L49" s="5" t="s">
        <v>238</v>
      </c>
    </row>
    <row r="50" customFormat="false" ht="19.5" hidden="false" customHeight="true" outlineLevel="0" collapsed="false">
      <c r="A50" s="6" t="s">
        <v>239</v>
      </c>
      <c r="B50" s="6" t="s">
        <v>240</v>
      </c>
      <c r="C50" s="6" t="s">
        <v>198</v>
      </c>
      <c r="D50" s="6" t="s">
        <v>241</v>
      </c>
      <c r="E50" s="6" t="s">
        <v>242</v>
      </c>
      <c r="F50" s="6" t="s">
        <v>19</v>
      </c>
      <c r="G50" s="6" t="s">
        <v>20</v>
      </c>
      <c r="H50" s="6" t="s">
        <v>243</v>
      </c>
      <c r="I50" s="6" t="s">
        <v>244</v>
      </c>
      <c r="J50" s="6" t="s">
        <v>23</v>
      </c>
      <c r="K50" s="6" t="s">
        <v>24</v>
      </c>
      <c r="L50" s="5"/>
    </row>
    <row r="51" customFormat="false" ht="19.5" hidden="false" customHeight="true" outlineLevel="0" collapsed="false">
      <c r="A51" s="4" t="s">
        <v>245</v>
      </c>
      <c r="B51" s="4" t="s">
        <v>240</v>
      </c>
      <c r="C51" s="4" t="s">
        <v>198</v>
      </c>
      <c r="D51" s="4" t="s">
        <v>241</v>
      </c>
      <c r="E51" s="4" t="s">
        <v>246</v>
      </c>
      <c r="F51" s="4" t="s">
        <v>28</v>
      </c>
      <c r="G51" s="4" t="s">
        <v>20</v>
      </c>
      <c r="H51" s="4" t="s">
        <v>247</v>
      </c>
      <c r="I51" s="4" t="s">
        <v>248</v>
      </c>
      <c r="J51" s="4" t="s">
        <v>23</v>
      </c>
      <c r="K51" s="4" t="s">
        <v>24</v>
      </c>
      <c r="L51" s="5" t="s">
        <v>249</v>
      </c>
    </row>
    <row r="52" customFormat="false" ht="19.5" hidden="false" customHeight="true" outlineLevel="0" collapsed="false">
      <c r="A52" s="6" t="s">
        <v>250</v>
      </c>
      <c r="B52" s="6" t="s">
        <v>240</v>
      </c>
      <c r="C52" s="6" t="s">
        <v>198</v>
      </c>
      <c r="D52" s="6" t="s">
        <v>241</v>
      </c>
      <c r="E52" s="6" t="s">
        <v>251</v>
      </c>
      <c r="F52" s="6" t="s">
        <v>19</v>
      </c>
      <c r="G52" s="6" t="s">
        <v>20</v>
      </c>
      <c r="H52" s="6" t="s">
        <v>252</v>
      </c>
      <c r="I52" s="6" t="s">
        <v>253</v>
      </c>
      <c r="J52" s="6" t="s">
        <v>23</v>
      </c>
      <c r="K52" s="6" t="s">
        <v>24</v>
      </c>
      <c r="L52" s="5"/>
    </row>
    <row r="53" customFormat="false" ht="19.5" hidden="false" customHeight="true" outlineLevel="0" collapsed="false">
      <c r="A53" s="4" t="s">
        <v>254</v>
      </c>
      <c r="B53" s="4" t="s">
        <v>240</v>
      </c>
      <c r="C53" s="4" t="s">
        <v>198</v>
      </c>
      <c r="D53" s="4" t="s">
        <v>241</v>
      </c>
      <c r="E53" s="4" t="s">
        <v>255</v>
      </c>
      <c r="F53" s="4" t="s">
        <v>28</v>
      </c>
      <c r="G53" s="4" t="s">
        <v>20</v>
      </c>
      <c r="H53" s="4" t="s">
        <v>256</v>
      </c>
      <c r="I53" s="4" t="s">
        <v>257</v>
      </c>
      <c r="J53" s="4" t="s">
        <v>23</v>
      </c>
      <c r="K53" s="4" t="s">
        <v>24</v>
      </c>
      <c r="L53" s="5"/>
    </row>
    <row r="54" customFormat="false" ht="19.5" hidden="false" customHeight="true" outlineLevel="0" collapsed="false">
      <c r="A54" s="6" t="s">
        <v>258</v>
      </c>
      <c r="B54" s="6" t="s">
        <v>259</v>
      </c>
      <c r="C54" s="6" t="s">
        <v>198</v>
      </c>
      <c r="D54" s="6" t="s">
        <v>260</v>
      </c>
      <c r="E54" s="6" t="s">
        <v>261</v>
      </c>
      <c r="F54" s="6" t="s">
        <v>62</v>
      </c>
      <c r="G54" s="6" t="s">
        <v>20</v>
      </c>
      <c r="H54" s="6" t="s">
        <v>262</v>
      </c>
      <c r="I54" s="6" t="s">
        <v>263</v>
      </c>
      <c r="J54" s="6" t="s">
        <v>23</v>
      </c>
      <c r="K54" s="6" t="s">
        <v>24</v>
      </c>
      <c r="L54" s="5"/>
    </row>
    <row r="55" customFormat="false" ht="19.5" hidden="false" customHeight="true" outlineLevel="0" collapsed="false">
      <c r="A55" s="4" t="s">
        <v>264</v>
      </c>
      <c r="B55" s="4" t="s">
        <v>259</v>
      </c>
      <c r="C55" s="4" t="s">
        <v>198</v>
      </c>
      <c r="D55" s="4" t="s">
        <v>260</v>
      </c>
      <c r="E55" s="4" t="s">
        <v>265</v>
      </c>
      <c r="F55" s="4" t="s">
        <v>28</v>
      </c>
      <c r="G55" s="4" t="s">
        <v>20</v>
      </c>
      <c r="H55" s="4" t="s">
        <v>266</v>
      </c>
      <c r="I55" s="4" t="s">
        <v>267</v>
      </c>
      <c r="J55" s="4" t="s">
        <v>23</v>
      </c>
      <c r="K55" s="4" t="s">
        <v>24</v>
      </c>
      <c r="L55" s="5"/>
    </row>
    <row r="56" customFormat="false" ht="19.5" hidden="false" customHeight="true" outlineLevel="0" collapsed="false">
      <c r="A56" s="6" t="s">
        <v>268</v>
      </c>
      <c r="B56" s="6" t="s">
        <v>259</v>
      </c>
      <c r="C56" s="6" t="s">
        <v>198</v>
      </c>
      <c r="D56" s="6" t="s">
        <v>260</v>
      </c>
      <c r="E56" s="6" t="s">
        <v>269</v>
      </c>
      <c r="F56" s="6" t="s">
        <v>62</v>
      </c>
      <c r="G56" s="6" t="s">
        <v>20</v>
      </c>
      <c r="H56" s="6" t="s">
        <v>270</v>
      </c>
      <c r="I56" s="6" t="s">
        <v>271</v>
      </c>
      <c r="J56" s="6" t="s">
        <v>23</v>
      </c>
      <c r="K56" s="6" t="s">
        <v>24</v>
      </c>
      <c r="L56" s="5" t="s">
        <v>272</v>
      </c>
    </row>
    <row r="57" customFormat="false" ht="19.5" hidden="false" customHeight="true" outlineLevel="0" collapsed="false">
      <c r="A57" s="4" t="s">
        <v>273</v>
      </c>
      <c r="B57" s="4" t="s">
        <v>259</v>
      </c>
      <c r="C57" s="4" t="s">
        <v>198</v>
      </c>
      <c r="D57" s="4" t="s">
        <v>260</v>
      </c>
      <c r="E57" s="4" t="s">
        <v>274</v>
      </c>
      <c r="F57" s="4" t="s">
        <v>28</v>
      </c>
      <c r="G57" s="4" t="s">
        <v>20</v>
      </c>
      <c r="H57" s="4" t="s">
        <v>275</v>
      </c>
      <c r="I57" s="4" t="s">
        <v>276</v>
      </c>
      <c r="J57" s="4" t="s">
        <v>23</v>
      </c>
      <c r="K57" s="4" t="s">
        <v>24</v>
      </c>
      <c r="L57" s="5"/>
    </row>
    <row r="58" customFormat="false" ht="19.5" hidden="false" customHeight="true" outlineLevel="0" collapsed="false">
      <c r="A58" s="6" t="s">
        <v>277</v>
      </c>
      <c r="B58" s="6" t="s">
        <v>259</v>
      </c>
      <c r="C58" s="6" t="s">
        <v>198</v>
      </c>
      <c r="D58" s="6" t="s">
        <v>260</v>
      </c>
      <c r="E58" s="6" t="s">
        <v>278</v>
      </c>
      <c r="F58" s="6" t="s">
        <v>62</v>
      </c>
      <c r="G58" s="6" t="s">
        <v>20</v>
      </c>
      <c r="H58" s="6" t="s">
        <v>112</v>
      </c>
      <c r="I58" s="6" t="s">
        <v>229</v>
      </c>
      <c r="J58" s="6" t="s">
        <v>23</v>
      </c>
      <c r="K58" s="6" t="s">
        <v>24</v>
      </c>
      <c r="L58" s="5"/>
    </row>
  </sheetData>
  <autoFilter ref="A4:L58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7" min="5" style="0" width="38"/>
    <col collapsed="false" customWidth="true" hidden="false" outlineLevel="0" max="8" min="8" style="0" width="18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7" t="s">
        <v>279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2" t="s">
        <v>280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1.75" hidden="false" customHeight="true" outlineLevel="0" collapsed="false">
      <c r="A4" s="8" t="s">
        <v>281</v>
      </c>
      <c r="B4" s="8" t="s">
        <v>282</v>
      </c>
      <c r="C4" s="8" t="s">
        <v>283</v>
      </c>
      <c r="D4" s="8" t="s">
        <v>284</v>
      </c>
      <c r="E4" s="8" t="s">
        <v>285</v>
      </c>
      <c r="F4" s="8" t="s">
        <v>286</v>
      </c>
      <c r="G4" s="8" t="s">
        <v>287</v>
      </c>
      <c r="H4" s="8" t="s">
        <v>7</v>
      </c>
      <c r="I4" s="8" t="s">
        <v>288</v>
      </c>
    </row>
    <row r="5" customFormat="false" ht="19.5" hidden="false" customHeight="true" outlineLevel="0" collapsed="false">
      <c r="A5" s="4" t="s">
        <v>289</v>
      </c>
      <c r="B5" s="4" t="s">
        <v>290</v>
      </c>
      <c r="C5" s="4" t="s">
        <v>291</v>
      </c>
      <c r="D5" s="4" t="s">
        <v>292</v>
      </c>
      <c r="E5" s="4" t="s">
        <v>293</v>
      </c>
      <c r="F5" s="4" t="s">
        <v>294</v>
      </c>
      <c r="G5" s="4" t="s">
        <v>295</v>
      </c>
      <c r="H5" s="4" t="s">
        <v>28</v>
      </c>
      <c r="I5" s="5" t="s">
        <v>23</v>
      </c>
    </row>
    <row r="6" customFormat="false" ht="19.5" hidden="false" customHeight="true" outlineLevel="0" collapsed="false">
      <c r="A6" s="6" t="s">
        <v>296</v>
      </c>
      <c r="B6" s="6" t="s">
        <v>290</v>
      </c>
      <c r="C6" s="6" t="s">
        <v>297</v>
      </c>
      <c r="D6" s="6" t="s">
        <v>298</v>
      </c>
      <c r="E6" s="6" t="s">
        <v>299</v>
      </c>
      <c r="F6" s="6" t="s">
        <v>300</v>
      </c>
      <c r="G6" s="6" t="s">
        <v>301</v>
      </c>
      <c r="H6" s="6" t="s">
        <v>28</v>
      </c>
      <c r="I6" s="5" t="s">
        <v>23</v>
      </c>
    </row>
    <row r="7" customFormat="false" ht="19.5" hidden="false" customHeight="true" outlineLevel="0" collapsed="false">
      <c r="A7" s="4" t="s">
        <v>302</v>
      </c>
      <c r="B7" s="4" t="s">
        <v>303</v>
      </c>
      <c r="C7" s="4" t="s">
        <v>304</v>
      </c>
      <c r="D7" s="4" t="s">
        <v>305</v>
      </c>
      <c r="E7" s="4" t="s">
        <v>306</v>
      </c>
      <c r="F7" s="4" t="s">
        <v>307</v>
      </c>
      <c r="G7" s="4" t="s">
        <v>308</v>
      </c>
      <c r="H7" s="4" t="s">
        <v>28</v>
      </c>
      <c r="I7" s="5" t="s">
        <v>23</v>
      </c>
    </row>
    <row r="8" customFormat="false" ht="19.5" hidden="false" customHeight="true" outlineLevel="0" collapsed="false">
      <c r="A8" s="6" t="s">
        <v>309</v>
      </c>
      <c r="B8" s="6" t="s">
        <v>303</v>
      </c>
      <c r="C8" s="6" t="s">
        <v>310</v>
      </c>
      <c r="D8" s="6" t="s">
        <v>311</v>
      </c>
      <c r="E8" s="6" t="s">
        <v>312</v>
      </c>
      <c r="F8" s="6" t="s">
        <v>313</v>
      </c>
      <c r="G8" s="6" t="s">
        <v>314</v>
      </c>
      <c r="H8" s="6" t="s">
        <v>62</v>
      </c>
      <c r="I8" s="5" t="s">
        <v>23</v>
      </c>
    </row>
    <row r="9" customFormat="false" ht="19.5" hidden="false" customHeight="true" outlineLevel="0" collapsed="false">
      <c r="A9" s="4" t="s">
        <v>315</v>
      </c>
      <c r="B9" s="4" t="s">
        <v>303</v>
      </c>
      <c r="C9" s="4" t="s">
        <v>316</v>
      </c>
      <c r="D9" s="4" t="s">
        <v>317</v>
      </c>
      <c r="E9" s="4" t="s">
        <v>318</v>
      </c>
      <c r="F9" s="4" t="s">
        <v>319</v>
      </c>
      <c r="G9" s="4" t="s">
        <v>320</v>
      </c>
      <c r="H9" s="4" t="s">
        <v>28</v>
      </c>
      <c r="I9" s="5" t="s">
        <v>23</v>
      </c>
    </row>
    <row r="10" customFormat="false" ht="19.5" hidden="false" customHeight="true" outlineLevel="0" collapsed="false">
      <c r="A10" s="6" t="s">
        <v>321</v>
      </c>
      <c r="B10" s="6" t="s">
        <v>322</v>
      </c>
      <c r="C10" s="6" t="s">
        <v>323</v>
      </c>
      <c r="D10" s="6" t="s">
        <v>324</v>
      </c>
      <c r="E10" s="6" t="s">
        <v>325</v>
      </c>
      <c r="F10" s="6" t="s">
        <v>326</v>
      </c>
      <c r="G10" s="6" t="s">
        <v>327</v>
      </c>
      <c r="H10" s="6" t="s">
        <v>328</v>
      </c>
      <c r="I10" s="5" t="s">
        <v>23</v>
      </c>
    </row>
    <row r="11" customFormat="false" ht="19.5" hidden="false" customHeight="true" outlineLevel="0" collapsed="false">
      <c r="A11" s="4" t="s">
        <v>329</v>
      </c>
      <c r="B11" s="4" t="s">
        <v>322</v>
      </c>
      <c r="C11" s="4" t="s">
        <v>330</v>
      </c>
      <c r="D11" s="4" t="s">
        <v>331</v>
      </c>
      <c r="E11" s="4" t="s">
        <v>332</v>
      </c>
      <c r="F11" s="4" t="s">
        <v>333</v>
      </c>
      <c r="G11" s="4" t="s">
        <v>334</v>
      </c>
      <c r="H11" s="4" t="s">
        <v>19</v>
      </c>
      <c r="I11" s="5" t="s">
        <v>23</v>
      </c>
    </row>
    <row r="12" customFormat="false" ht="19.5" hidden="false" customHeight="true" outlineLevel="0" collapsed="false">
      <c r="A12" s="6" t="s">
        <v>335</v>
      </c>
      <c r="B12" s="6" t="s">
        <v>322</v>
      </c>
      <c r="C12" s="6" t="s">
        <v>336</v>
      </c>
      <c r="D12" s="6" t="s">
        <v>337</v>
      </c>
      <c r="E12" s="6" t="s">
        <v>338</v>
      </c>
      <c r="F12" s="6" t="s">
        <v>339</v>
      </c>
      <c r="G12" s="6" t="s">
        <v>340</v>
      </c>
      <c r="H12" s="6" t="s">
        <v>62</v>
      </c>
      <c r="I12" s="5" t="s">
        <v>23</v>
      </c>
    </row>
    <row r="13" customFormat="false" ht="19.5" hidden="false" customHeight="true" outlineLevel="0" collapsed="false">
      <c r="A13" s="4" t="s">
        <v>341</v>
      </c>
      <c r="B13" s="4" t="s">
        <v>342</v>
      </c>
      <c r="C13" s="4" t="s">
        <v>343</v>
      </c>
      <c r="D13" s="4" t="s">
        <v>344</v>
      </c>
      <c r="E13" s="4" t="s">
        <v>345</v>
      </c>
      <c r="F13" s="4" t="s">
        <v>346</v>
      </c>
      <c r="G13" s="4" t="s">
        <v>347</v>
      </c>
      <c r="H13" s="4" t="s">
        <v>348</v>
      </c>
      <c r="I13" s="5" t="s">
        <v>23</v>
      </c>
    </row>
    <row r="14" customFormat="false" ht="19.5" hidden="false" customHeight="true" outlineLevel="0" collapsed="false">
      <c r="A14" s="6" t="s">
        <v>349</v>
      </c>
      <c r="B14" s="6" t="s">
        <v>342</v>
      </c>
      <c r="C14" s="6" t="s">
        <v>350</v>
      </c>
      <c r="D14" s="6" t="s">
        <v>351</v>
      </c>
      <c r="E14" s="6" t="s">
        <v>352</v>
      </c>
      <c r="F14" s="6" t="s">
        <v>353</v>
      </c>
      <c r="G14" s="6" t="s">
        <v>354</v>
      </c>
      <c r="H14" s="6" t="s">
        <v>28</v>
      </c>
      <c r="I14" s="5" t="s">
        <v>23</v>
      </c>
    </row>
    <row r="15" customFormat="false" ht="19.5" hidden="false" customHeight="true" outlineLevel="0" collapsed="false">
      <c r="A15" s="4" t="s">
        <v>355</v>
      </c>
      <c r="B15" s="4" t="s">
        <v>356</v>
      </c>
      <c r="C15" s="4" t="s">
        <v>357</v>
      </c>
      <c r="D15" s="4" t="s">
        <v>358</v>
      </c>
      <c r="E15" s="4" t="s">
        <v>359</v>
      </c>
      <c r="F15" s="4" t="s">
        <v>360</v>
      </c>
      <c r="G15" s="4" t="s">
        <v>361</v>
      </c>
      <c r="H15" s="4" t="s">
        <v>362</v>
      </c>
      <c r="I15" s="5" t="s">
        <v>23</v>
      </c>
    </row>
    <row r="16" customFormat="false" ht="19.5" hidden="false" customHeight="true" outlineLevel="0" collapsed="false">
      <c r="A16" s="6" t="s">
        <v>363</v>
      </c>
      <c r="B16" s="6" t="s">
        <v>364</v>
      </c>
      <c r="C16" s="6" t="s">
        <v>365</v>
      </c>
      <c r="D16" s="6" t="s">
        <v>366</v>
      </c>
      <c r="E16" s="6" t="s">
        <v>367</v>
      </c>
      <c r="F16" s="6" t="s">
        <v>368</v>
      </c>
      <c r="G16" s="6" t="s">
        <v>369</v>
      </c>
      <c r="H16" s="6" t="s">
        <v>28</v>
      </c>
      <c r="I16" s="5" t="s">
        <v>23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8"/>
    <col collapsed="false" customWidth="true" hidden="false" outlineLevel="0" max="3" min="3" style="0" width="45"/>
  </cols>
  <sheetData>
    <row r="1" customFormat="false" ht="27.75" hidden="false" customHeight="true" outlineLevel="0" collapsed="false">
      <c r="A1" s="1" t="s">
        <v>370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/>
    <row r="3" customFormat="false" ht="19.5" hidden="false" customHeight="true" outlineLevel="0" collapsed="false">
      <c r="B3" s="9" t="s">
        <v>371</v>
      </c>
      <c r="C3" s="10" t="s">
        <v>372</v>
      </c>
    </row>
    <row r="4" customFormat="false" ht="19.5" hidden="false" customHeight="true" outlineLevel="0" collapsed="false">
      <c r="B4" s="11" t="s">
        <v>373</v>
      </c>
      <c r="C4" s="12" t="s">
        <v>372</v>
      </c>
    </row>
    <row r="5" customFormat="false" ht="19.5" hidden="false" customHeight="true" outlineLevel="0" collapsed="false">
      <c r="B5" s="9" t="s">
        <v>374</v>
      </c>
      <c r="C5" s="10" t="s">
        <v>375</v>
      </c>
    </row>
    <row r="6" customFormat="false" ht="19.5" hidden="false" customHeight="true" outlineLevel="0" collapsed="false">
      <c r="B6" s="11" t="s">
        <v>376</v>
      </c>
      <c r="C6" s="12" t="s">
        <v>375</v>
      </c>
    </row>
    <row r="7" customFormat="false" ht="19.5" hidden="false" customHeight="true" outlineLevel="0" collapsed="false">
      <c r="B7" s="9" t="s">
        <v>377</v>
      </c>
      <c r="C7" s="10" t="s">
        <v>375</v>
      </c>
    </row>
    <row r="8" customFormat="false" ht="19.5" hidden="false" customHeight="true" outlineLevel="0" collapsed="false">
      <c r="B8" s="13" t="s">
        <v>378</v>
      </c>
      <c r="C8" s="14" t="n">
        <f aca="false">C4/C3</f>
        <v>1</v>
      </c>
    </row>
    <row r="9" customFormat="false" ht="19.5" hidden="false" customHeight="true" outlineLevel="0" collapsed="false"/>
    <row r="10" customFormat="false" ht="19.5" hidden="false" customHeight="true" outlineLevel="0" collapsed="false">
      <c r="B10" s="11" t="s">
        <v>379</v>
      </c>
      <c r="C10" s="12" t="s">
        <v>380</v>
      </c>
    </row>
    <row r="11" customFormat="false" ht="19.5" hidden="false" customHeight="true" outlineLevel="0" collapsed="false">
      <c r="B11" s="9" t="s">
        <v>381</v>
      </c>
      <c r="C11" s="10" t="s">
        <v>380</v>
      </c>
    </row>
    <row r="12" customFormat="false" ht="19.5" hidden="false" customHeight="true" outlineLevel="0" collapsed="false">
      <c r="B12" s="13" t="s">
        <v>382</v>
      </c>
      <c r="C12" s="14" t="n">
        <f aca="false">C11/C10</f>
        <v>1</v>
      </c>
    </row>
    <row r="13" customFormat="false" ht="19.5" hidden="false" customHeight="true" outlineLevel="0" collapsed="false"/>
    <row r="14" customFormat="false" ht="19.5" hidden="false" customHeight="true" outlineLevel="0" collapsed="false">
      <c r="B14" s="11" t="s">
        <v>383</v>
      </c>
      <c r="C14" s="12" t="s">
        <v>380</v>
      </c>
    </row>
    <row r="15" customFormat="false" ht="19.5" hidden="false" customHeight="true" outlineLevel="0" collapsed="false">
      <c r="B15" s="9" t="s">
        <v>384</v>
      </c>
      <c r="C15" s="10" t="s">
        <v>380</v>
      </c>
    </row>
    <row r="16" customFormat="false" ht="19.5" hidden="false" customHeight="true" outlineLevel="0" collapsed="false">
      <c r="B16" s="11" t="s">
        <v>385</v>
      </c>
      <c r="C16" s="12" t="s">
        <v>375</v>
      </c>
    </row>
    <row r="17" customFormat="false" ht="19.5" hidden="false" customHeight="true" outlineLevel="0" collapsed="false"/>
    <row r="18" customFormat="false" ht="19.5" hidden="false" customHeight="true" outlineLevel="0" collapsed="false">
      <c r="B18" s="11" t="s">
        <v>386</v>
      </c>
      <c r="C18" s="12" t="s">
        <v>387</v>
      </c>
    </row>
    <row r="19" customFormat="false" ht="19.5" hidden="false" customHeight="true" outlineLevel="0" collapsed="false">
      <c r="B19" s="9" t="s">
        <v>388</v>
      </c>
      <c r="C19" s="10" t="s">
        <v>389</v>
      </c>
    </row>
    <row r="20" customFormat="false" ht="19.5" hidden="false" customHeight="true" outlineLevel="0" collapsed="false">
      <c r="B20" s="11" t="s">
        <v>390</v>
      </c>
      <c r="C20" s="12" t="s">
        <v>391</v>
      </c>
    </row>
    <row r="21" customFormat="false" ht="19.5" hidden="false" customHeight="true" outlineLevel="0" collapsed="false">
      <c r="B21" s="9" t="s">
        <v>392</v>
      </c>
      <c r="C21" s="10" t="s">
        <v>20</v>
      </c>
    </row>
    <row r="22" customFormat="false" ht="19.5" hidden="false" customHeight="true" outlineLevel="0" collapsed="false">
      <c r="B22" s="13" t="s">
        <v>393</v>
      </c>
      <c r="C22" s="15" t="s">
        <v>394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2026-03-15T04:05:28Z</dcterms:created>
  <dc:creator>openpyxl</dc:creator>
  <dc:description/>
  <dc:language>en-US</dc:language>
  <cp:lastModifiedBy/>
  <dcterms:modified xsi:type="dcterms:W3CDTF">2026-03-15T04:05:28Z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