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Register" sheetId="1" state="visible" r:id="rId3"/>
    <sheet name="Summary Dashboard" sheetId="2" state="visible" r:id="rId4"/>
    <sheet name="Immediate Actions" sheetId="3" state="visible" r:id="rId5"/>
  </sheets>
  <definedNames>
    <definedName function="false" hidden="true" localSheetId="0" name="_xlnm._FilterDatabase" vbProcedure="false">'Master Register'!$A$4:$M$39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<sst xmlns="http://schemas.openxmlformats.org/spreadsheetml/2006/main" count="512" uniqueCount="244">
  <si>
    <t xml:space="preserve">PROJECT-WIDE SIGN-OFF TRACKER — MASTER REGISTER</t>
  </si>
  <si>
    <t xml:space="preserve">Skye Fundraising Intelligence Dashboard  ·  All required approvals across the full project lifecycle  ·  March 15, 2026</t>
  </si>
  <si>
    <t xml:space="preserve">Sign-Off ID</t>
  </si>
  <si>
    <t xml:space="preserve">Category</t>
  </si>
  <si>
    <t xml:space="preserve">Deliverable / Decision</t>
  </si>
  <si>
    <t xml:space="preserve">Required Approver(s)</t>
  </si>
  <si>
    <t xml:space="preserve">Secondary Approver</t>
  </si>
  <si>
    <t xml:space="preserve">Due Date</t>
  </si>
  <si>
    <t xml:space="preserve">Signed Date</t>
  </si>
  <si>
    <t xml:space="preserve">Status</t>
  </si>
  <si>
    <t xml:space="preserve">Version</t>
  </si>
  <si>
    <t xml:space="preserve">Blocking?</t>
  </si>
  <si>
    <t xml:space="preserve">Document Ref</t>
  </si>
  <si>
    <t xml:space="preserve">Notes / Conditions</t>
  </si>
  <si>
    <t xml:space="preserve">RAG</t>
  </si>
  <si>
    <t xml:space="preserve">SO-BR-001</t>
  </si>
  <si>
    <t xml:space="preserve">Brand &amp; Strategy</t>
  </si>
  <si>
    <t xml:space="preserve">Brand Name — Skye Data Advisory</t>
  </si>
  <si>
    <t xml:space="preserve">Founder / Principal</t>
  </si>
  <si>
    <t xml:space="preserve">—</t>
  </si>
  <si>
    <t xml:space="preserve">Pre-launch</t>
  </si>
  <si>
    <t xml:space="preserve">PENDING</t>
  </si>
  <si>
    <t xml:space="preserve">v1.0</t>
  </si>
  <si>
    <t xml:space="preserve">YES</t>
  </si>
  <si>
    <t xml:space="preserve">Chat history</t>
  </si>
  <si>
    <t xml:space="preserve">Name selected; no formal sign-off document exists</t>
  </si>
  <si>
    <t xml:space="preserve">SO-BR-002</t>
  </si>
  <si>
    <t xml:space="preserve">Brand Brief — Colors, Fonts, Logo Direction</t>
  </si>
  <si>
    <t xml:space="preserve">Marketing Lead</t>
  </si>
  <si>
    <t xml:space="preserve">NO</t>
  </si>
  <si>
    <t xml:space="preserve">DGO-001 Ref</t>
  </si>
  <si>
    <t xml:space="preserve">Brand brief produced; stakeholder approval not documented</t>
  </si>
  <si>
    <t xml:space="preserve">SO-BR-003</t>
  </si>
  <si>
    <t xml:space="preserve">Tagline — 'Data strategy, analytics, and governance for mission-driven organizations'</t>
  </si>
  <si>
    <t xml:space="preserve">Final tagline not formally confirmed</t>
  </si>
  <si>
    <t xml:space="preserve">SO-BR-004</t>
  </si>
  <si>
    <t xml:space="preserve">Color System — Final 8-color palette including Signal Coral</t>
  </si>
  <si>
    <t xml:space="preserve">UX Lead</t>
  </si>
  <si>
    <t xml:space="preserve">Dashboard Design Guide</t>
  </si>
  <si>
    <t xml:space="preserve">Coral selected; no written confirmation</t>
  </si>
  <si>
    <t xml:space="preserve">SO-DA-001</t>
  </si>
  <si>
    <t xml:space="preserve">Analytics Design</t>
  </si>
  <si>
    <t xml:space="preserve">Analytics Use Case Statement — Fundraising Intelligence</t>
  </si>
  <si>
    <t xml:space="preserve">Business Owner</t>
  </si>
  <si>
    <t xml:space="preserve">DGO</t>
  </si>
  <si>
    <t xml:space="preserve">Before build</t>
  </si>
  <si>
    <t xml:space="preserve">03_Analytics_Use_Case_Process</t>
  </si>
  <si>
    <t xml:space="preserve">Use case defined in documentation; not signed off</t>
  </si>
  <si>
    <t xml:space="preserve">SO-DA-002</t>
  </si>
  <si>
    <t xml:space="preserve">Metric Definitions — All 9 metrics and Tableau calculations</t>
  </si>
  <si>
    <t xml:space="preserve">02_Data_Dictionary_and_Metric_Definitions</t>
  </si>
  <si>
    <t xml:space="preserve">Definitions documented; written sign-off required per process</t>
  </si>
  <si>
    <t xml:space="preserve">SO-DA-003</t>
  </si>
  <si>
    <t xml:space="preserve">Data Dictionary — All 15 fields in DONATIONS_RAW</t>
  </si>
  <si>
    <t xml:space="preserve">Fundraising Steward</t>
  </si>
  <si>
    <t xml:space="preserve">02_Data_Dictionary</t>
  </si>
  <si>
    <t xml:space="preserve">Definitions exist; no formal approval recorded</t>
  </si>
  <si>
    <t xml:space="preserve">SO-DA-004</t>
  </si>
  <si>
    <t xml:space="preserve">Dashboard Tab Structure — 3 tabs approved</t>
  </si>
  <si>
    <t xml:space="preserve">Wireframe Sign-Off SO-001</t>
  </si>
  <si>
    <t xml:space="preserve">THIS is the current blocker — wireframe sign-off not completed</t>
  </si>
  <si>
    <t xml:space="preserve">SO-DA-005</t>
  </si>
  <si>
    <t xml:space="preserve">Outlier Definition — 2× window average threshold</t>
  </si>
  <si>
    <t xml:space="preserve">Threshold defined; not explicitly approved</t>
  </si>
  <si>
    <t xml:space="preserve">SO-WF-001</t>
  </si>
  <si>
    <t xml:space="preserve">Wireframes</t>
  </si>
  <si>
    <t xml:space="preserve">Tab 1 — Executive Overview wireframe</t>
  </si>
  <si>
    <t xml:space="preserve">Before development</t>
  </si>
  <si>
    <t xml:space="preserve">01_Wireframe_Sign_Off_Document</t>
  </si>
  <si>
    <t xml:space="preserve">OUTSTANDING — blocks Tab 1 development</t>
  </si>
  <si>
    <t xml:space="preserve">SO-WF-002</t>
  </si>
  <si>
    <t xml:space="preserve">Tab 2 — Campaign Performance wireframe</t>
  </si>
  <si>
    <t xml:space="preserve">OUTSTANDING — blocks Tab 2 development</t>
  </si>
  <si>
    <t xml:space="preserve">SO-WF-003</t>
  </si>
  <si>
    <t xml:space="preserve">Tab 3 — Donor Intelligence wireframe</t>
  </si>
  <si>
    <t xml:space="preserve">OUTSTANDING — blocks Tab 3 development</t>
  </si>
  <si>
    <t xml:space="preserve">SO-GOV-001</t>
  </si>
  <si>
    <t xml:space="preserve">Governance</t>
  </si>
  <si>
    <t xml:space="preserve">Data Governance Framework — Principles, Roles, Policy</t>
  </si>
  <si>
    <t xml:space="preserve">Legal / Compliance</t>
  </si>
  <si>
    <t xml:space="preserve">Before real data</t>
  </si>
  <si>
    <t xml:space="preserve">01_Data_Governance_Framework_and_Policy</t>
  </si>
  <si>
    <t xml:space="preserve">Framework produced; not signed by leadership</t>
  </si>
  <si>
    <t xml:space="preserve">SO-GOV-002</t>
  </si>
  <si>
    <t xml:space="preserve">Data Ownership Register — All fields and systems assigned</t>
  </si>
  <si>
    <t xml:space="preserve">All Stewards</t>
  </si>
  <si>
    <t xml:space="preserve">02_Data_Ownership_Register</t>
  </si>
  <si>
    <t xml:space="preserve">Roles defined; named individuals not yet assigned or signed</t>
  </si>
  <si>
    <t xml:space="preserve">SO-GOV-003</t>
  </si>
  <si>
    <t xml:space="preserve">Data Classification — Tier 1–4 applied to all assets</t>
  </si>
  <si>
    <t xml:space="preserve">Technology Steward</t>
  </si>
  <si>
    <t xml:space="preserve">Classification scheme defined; not applied or signed</t>
  </si>
  <si>
    <t xml:space="preserve">SO-GOV-004</t>
  </si>
  <si>
    <t xml:space="preserve">Data Quality Scorecard — 20 rules approved</t>
  </si>
  <si>
    <t xml:space="preserve">Before production</t>
  </si>
  <si>
    <t xml:space="preserve">03_Data_Quality_Scorecard</t>
  </si>
  <si>
    <t xml:space="preserve">Rules defined; not yet activated or approved</t>
  </si>
  <si>
    <t xml:space="preserve">SO-GOV-005</t>
  </si>
  <si>
    <t xml:space="preserve">Data Retention Schedule — Periods confirmed</t>
  </si>
  <si>
    <t xml:space="preserve">Legal</t>
  </si>
  <si>
    <t xml:space="preserve">01_Data_Governance_Framework</t>
  </si>
  <si>
    <t xml:space="preserve">Schedule defined in framework; not operationalized</t>
  </si>
  <si>
    <t xml:space="preserve">SO-COM-001</t>
  </si>
  <si>
    <t xml:space="preserve">Compliance</t>
  </si>
  <si>
    <t xml:space="preserve">Snowflake Data Processing Agreement</t>
  </si>
  <si>
    <t xml:space="preserve">Before real data load</t>
  </si>
  <si>
    <t xml:space="preserve">04_Gap_Analysis GAP-004</t>
  </si>
  <si>
    <t xml:space="preserve">DPA not executed — CRITICAL compliance gap</t>
  </si>
  <si>
    <t xml:space="preserve">SO-COM-002</t>
  </si>
  <si>
    <t xml:space="preserve">Donor Privacy Policy Review — Analytics use case</t>
  </si>
  <si>
    <t xml:space="preserve">04_Gap_Analysis GAP-008</t>
  </si>
  <si>
    <t xml:space="preserve">Policy review not completed</t>
  </si>
  <si>
    <t xml:space="preserve">SO-COM-003</t>
  </si>
  <si>
    <t xml:space="preserve">Tableau Public Publication Policy Acknowledgment</t>
  </si>
  <si>
    <t xml:space="preserve">All team members</t>
  </si>
  <si>
    <t xml:space="preserve">Before first publish</t>
  </si>
  <si>
    <t xml:space="preserve">04_Gap_Analysis GAP-005</t>
  </si>
  <si>
    <t xml:space="preserve">No publish approval workflow exists</t>
  </si>
  <si>
    <t xml:space="preserve">SO-COM-004</t>
  </si>
  <si>
    <t xml:space="preserve">Email Platform Vendor Data Agreement</t>
  </si>
  <si>
    <t xml:space="preserve">Before email data use</t>
  </si>
  <si>
    <t xml:space="preserve">04_Gap_Analysis GAP-009</t>
  </si>
  <si>
    <t xml:space="preserve">Not yet addressed</t>
  </si>
  <si>
    <t xml:space="preserve">SO-TECH-001</t>
  </si>
  <si>
    <t xml:space="preserve">Technical</t>
  </si>
  <si>
    <t xml:space="preserve">Snowflake Schema Design — DONATIONS_RAW table structure</t>
  </si>
  <si>
    <t xml:space="preserve">Before data load</t>
  </si>
  <si>
    <t xml:space="preserve">04_Snowflake_Tableau_Technical_Guide</t>
  </si>
  <si>
    <t xml:space="preserve">Schema defined; no formal sign-off</t>
  </si>
  <si>
    <t xml:space="preserve">SO-TECH-002</t>
  </si>
  <si>
    <t xml:space="preserve">VW_FUNDRAISING_DASHBOARD view definition</t>
  </si>
  <si>
    <t xml:space="preserve">Before Tableau build</t>
  </si>
  <si>
    <t xml:space="preserve">View SQL documented; not signed off</t>
  </si>
  <si>
    <t xml:space="preserve">SO-TECH-003</t>
  </si>
  <si>
    <t xml:space="preserve">Extract File Naming Convention — v1 format approved</t>
  </si>
  <si>
    <t xml:space="preserve">Before first export</t>
  </si>
  <si>
    <t xml:space="preserve">Technical Guide</t>
  </si>
  <si>
    <t xml:space="preserve">Convention defined; not formally agreed</t>
  </si>
  <si>
    <t xml:space="preserve">SO-TECH-004</t>
  </si>
  <si>
    <t xml:space="preserve">Tableau Calculated Fields — All 11 formulas approved</t>
  </si>
  <si>
    <t xml:space="preserve">DGO + Analyst</t>
  </si>
  <si>
    <t xml:space="preserve">Before dashboard build</t>
  </si>
  <si>
    <t xml:space="preserve">05_Tableau_Workbook_Specification</t>
  </si>
  <si>
    <t xml:space="preserve">Formulas documented; business approval needed</t>
  </si>
  <si>
    <t xml:space="preserve">SO-QA-001</t>
  </si>
  <si>
    <t xml:space="preserve">QA</t>
  </si>
  <si>
    <t xml:space="preserve">QA Test Plan — 10 tests and acceptance criteria approved</t>
  </si>
  <si>
    <t xml:space="preserve">Before testing</t>
  </si>
  <si>
    <t xml:space="preserve">06_Dashboard_QA_Test_Plan</t>
  </si>
  <si>
    <t xml:space="preserve">Test plan produced; formal approval not obtained</t>
  </si>
  <si>
    <t xml:space="preserve">SO-QA-002</t>
  </si>
  <si>
    <t xml:space="preserve">QA Sign-Off — All 10 tests passed</t>
  </si>
  <si>
    <t xml:space="preserve">After QA, before publish</t>
  </si>
  <si>
    <t xml:space="preserve">Cannot sign off until QA is run; blocked by wireframe sign-off</t>
  </si>
  <si>
    <t xml:space="preserve">SO-QA-003</t>
  </si>
  <si>
    <t xml:space="preserve">Usability Test Results — 3 users, 6 questions, &lt;30sec threshold</t>
  </si>
  <si>
    <t xml:space="preserve">After QA</t>
  </si>
  <si>
    <t xml:space="preserve">Usability test not yet conducted</t>
  </si>
  <si>
    <t xml:space="preserve">SO-QA-004</t>
  </si>
  <si>
    <t xml:space="preserve">Reconciliation Baseline — Snowflake totals vs Finance System</t>
  </si>
  <si>
    <t xml:space="preserve">Baseline not established for production data</t>
  </si>
  <si>
    <t xml:space="preserve">SO-PUB-001</t>
  </si>
  <si>
    <t xml:space="preserve">Publication</t>
  </si>
  <si>
    <t xml:space="preserve">Tableau Public Dashboard — Final publication authorization</t>
  </si>
  <si>
    <t xml:space="preserve">DGO + Executive Sponsor</t>
  </si>
  <si>
    <t xml:space="preserve">Before go-live</t>
  </si>
  <si>
    <t xml:space="preserve">Governance Framework</t>
  </si>
  <si>
    <t xml:space="preserve">Cannot publish until all RED items above are resolved</t>
  </si>
  <si>
    <t xml:space="preserve">SO-PUB-002</t>
  </si>
  <si>
    <t xml:space="preserve">Consumer Training Delivery — All dashboard users trained</t>
  </si>
  <si>
    <t xml:space="preserve">Project Manager</t>
  </si>
  <si>
    <t xml:space="preserve">04_Gap_Analysis GAP-011</t>
  </si>
  <si>
    <t xml:space="preserve">Training not yet developed or delivered</t>
  </si>
  <si>
    <t xml:space="preserve">SO-PUB-003</t>
  </si>
  <si>
    <t xml:space="preserve">Data Currency Date — Displayed on published dashboard</t>
  </si>
  <si>
    <t xml:space="preserve">Standard practice; to be confirmed at publish</t>
  </si>
  <si>
    <t xml:space="preserve">SO-PROD-001</t>
  </si>
  <si>
    <t xml:space="preserve">Product</t>
  </si>
  <si>
    <t xml:space="preserve">Skye Data Maturity Accelerator — Product spec approved</t>
  </si>
  <si>
    <t xml:space="preserve">Product launch</t>
  </si>
  <si>
    <t xml:space="preserve">NOT STARTED</t>
  </si>
  <si>
    <t xml:space="preserve">Product planned; spec not built</t>
  </si>
  <si>
    <t xml:space="preserve">SO-PROD-002</t>
  </si>
  <si>
    <t xml:space="preserve">Skye Fundraising Intelligence — Product pricing approved</t>
  </si>
  <si>
    <t xml:space="preserve">Pricing tiers discussed; not formalized</t>
  </si>
  <si>
    <t xml:space="preserve">SO-PROD-003</t>
  </si>
  <si>
    <t xml:space="preserve">Demo Dataset — Approved for public portfolio use</t>
  </si>
  <si>
    <t xml:space="preserve">Before portfolio publish</t>
  </si>
  <si>
    <t xml:space="preserve">Governance Certification</t>
  </si>
  <si>
    <t xml:space="preserve">Demo data is synthetic; DGO conditional approval issued</t>
  </si>
  <si>
    <t xml:space="preserve">SIGN-OFF STATUS SUMMARY</t>
  </si>
  <si>
    <t xml:space="preserve">Counts by category and RAG status  ·  March 15, 2026</t>
  </si>
  <si>
    <t xml:space="preserve">Total</t>
  </si>
  <si>
    <t xml:space="preserve">RED</t>
  </si>
  <si>
    <t xml:space="preserve">AMBER</t>
  </si>
  <si>
    <t xml:space="preserve">GREEN</t>
  </si>
  <si>
    <t xml:space="preserve">% Complete</t>
  </si>
  <si>
    <t xml:space="preserve">Notes</t>
  </si>
  <si>
    <t xml:space="preserve">Name and brief decisions documented; formal sign-offs outstanding</t>
  </si>
  <si>
    <t xml:space="preserve">Metric definitions are the critical blocker; business sign-off needed</t>
  </si>
  <si>
    <t xml:space="preserve">ALL THREE TABS OUTSTANDING — this is the immediate priority</t>
  </si>
  <si>
    <t xml:space="preserve">Framework built; ownership register needs named individuals assigned</t>
  </si>
  <si>
    <t xml:space="preserve">Snowflake DPA is the single most urgent compliance gap</t>
  </si>
  <si>
    <t xml:space="preserve">Schema and view defined; formal approval needed before production build</t>
  </si>
  <si>
    <t xml:space="preserve">Cannot begin until wireframes are signed off and Tableau build starts</t>
  </si>
  <si>
    <t xml:space="preserve">Blocked by all upstream RED items; publication not yet authorized</t>
  </si>
  <si>
    <t xml:space="preserve">Product roadmap agreed; formal spec and pricing not yet formalized</t>
  </si>
  <si>
    <t xml:space="preserve">TOTAL</t>
  </si>
  <si>
    <t xml:space="preserve">GREEN items only: 1 of 35 sign-offs complete</t>
  </si>
  <si>
    <t xml:space="preserve">IMMEDIATE ACTION PLAN — Critical Sign-Offs Required NOW</t>
  </si>
  <si>
    <t xml:space="preserve">Items that are blocking development or creating compliance risk  ·  March 15, 2026</t>
  </si>
  <si>
    <t xml:space="preserve">#</t>
  </si>
  <si>
    <t xml:space="preserve">Sign-Off Required</t>
  </si>
  <si>
    <t xml:space="preserve">Why It's Blocking</t>
  </si>
  <si>
    <t xml:space="preserve">Who Must Act</t>
  </si>
  <si>
    <t xml:space="preserve">Deadline</t>
  </si>
  <si>
    <t xml:space="preserve">Tab 1, 2, 3 Wireframe Sign-Off (SO-WF-001/002/003)</t>
  </si>
  <si>
    <t xml:space="preserve">No development can begin on any Tableau worksheet without this</t>
  </si>
  <si>
    <t xml:space="preserve">Business Owner (Dev Director)</t>
  </si>
  <si>
    <t xml:space="preserve">This week</t>
  </si>
  <si>
    <t xml:space="preserve">OUTSTANDING</t>
  </si>
  <si>
    <t xml:space="preserve">Metric Definitions Sign-Off (SO-DA-002)</t>
  </si>
  <si>
    <t xml:space="preserve">Metric disputes after build are extremely costly; sign-off prevents scope creep</t>
  </si>
  <si>
    <t xml:space="preserve">Business Owner + DGO</t>
  </si>
  <si>
    <t xml:space="preserve">Before build starts</t>
  </si>
  <si>
    <t xml:space="preserve">Data Ownership Register — Assign Named Individuals (SO-GOV-002)</t>
  </si>
  <si>
    <t xml:space="preserve">Without named stewards, there is no accountability chain for data quality issues</t>
  </si>
  <si>
    <t xml:space="preserve">DGO + All Stewards</t>
  </si>
  <si>
    <t xml:space="preserve">Snowflake DPA — Initiate Legal Process (SO-COM-001)</t>
  </si>
  <si>
    <t xml:space="preserve">Cannot legally load real donor data without a Data Processing Agreement</t>
  </si>
  <si>
    <t xml:space="preserve">Technology Steward + Legal</t>
  </si>
  <si>
    <t xml:space="preserve">Tableau Public Publication Approval Workflow (SO-COM-003)</t>
  </si>
  <si>
    <t xml:space="preserve">Risk of accidental PII publication if any team member can publish without approval</t>
  </si>
  <si>
    <t xml:space="preserve">Immediately</t>
  </si>
  <si>
    <t xml:space="preserve">Data Classification Applied to All Assets (SO-GOV-003)</t>
  </si>
  <si>
    <t xml:space="preserve">Access controls cannot be properly set without classification</t>
  </si>
  <si>
    <t xml:space="preserve">Before real data ingestion</t>
  </si>
  <si>
    <t xml:space="preserve">Donor Privacy Policy Review (SO-COM-002)</t>
  </si>
  <si>
    <t xml:space="preserve">Analytics use cases may violate donor privacy commitments if not reviewed</t>
  </si>
  <si>
    <t xml:space="preserve">DGO + Legal</t>
  </si>
  <si>
    <t xml:space="preserve">Before production dashboard</t>
  </si>
  <si>
    <t xml:space="preserve">Tableau Calculated Fields Sign-Off (SO-TECH-004)</t>
  </si>
  <si>
    <t xml:space="preserve">Silent metric errors are the most damaging type of dashboard failure</t>
  </si>
  <si>
    <t xml:space="preserve">Business Owner + Analyst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</si>
</sst>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E768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FFF"/>
        <bgColor rgb="FFF4F6F8"/>
      </patternFill>
    </fill>
    <fill>
      <patternFill patternType="solid">
        <fgColor rgb="FFC49A3A"/>
        <bgColor rgb="FF969696"/>
      </patternFill>
    </fill>
    <fill>
      <patternFill patternType="solid">
        <fgColor rgb="FFF4F6F8"/>
        <bgColor rgb="FFFFF2F0"/>
      </patternFill>
    </fill>
    <fill>
      <patternFill patternType="solid">
        <fgColor rgb="FFE86A5A"/>
        <bgColor rgb="FFFF6600"/>
      </patternFill>
    </fill>
    <fill>
      <patternFill patternType="solid">
        <fgColor rgb="FF2E7D63"/>
        <bgColor rgb="FF3E8A8B"/>
      </patternFill>
    </fill>
    <fill>
      <patternFill patternType="solid">
        <fgColor rgb="FF3E8A8B"/>
        <bgColor rgb="FF2E7D63"/>
      </patternFill>
    </fill>
    <fill>
      <patternFill patternType="solid">
        <fgColor rgb="FFFFF2F0"/>
        <bgColor rgb="FFF4F6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0D5DC"/>
      </left>
      <right style="thin">
        <color rgb="FFD0D5DC"/>
      </right>
      <top style="thin">
        <color rgb="FFD0D5DC"/>
      </top>
      <bottom style="thin">
        <color rgb="FFD0D5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4F6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E7D63"/>
          <bgColor rgb="FF000000"/>
        </patternFill>
      </fill>
    </dxf>
    <dxf>
      <fill>
        <patternFill patternType="solid">
          <fgColor rgb="FFC49A3A"/>
          <bgColor rgb="FF000000"/>
        </patternFill>
      </fill>
    </dxf>
    <dxf>
      <fill>
        <patternFill patternType="solid">
          <fgColor rgb="FFE86A5A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D63"/>
      <rgbColor rgb="FFC0C0C0"/>
      <rgbColor rgb="FF6E7681"/>
      <rgbColor rgb="FF9999FF"/>
      <rgbColor rgb="FF993366"/>
      <rgbColor rgb="FFFFF2F0"/>
      <rgbColor rgb="FFF4F6F8"/>
      <rgbColor rgb="FF660066"/>
      <rgbColor rgb="FFE86A5A"/>
      <rgbColor rgb="FF0066CC"/>
      <rgbColor rgb="FFD0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49A3A"/>
      <rgbColor rgb="FFFF6600"/>
      <rgbColor rgb="FF666699"/>
      <rgbColor rgb="FF969696"/>
      <rgbColor rgb="FF003366"/>
      <rgbColor rgb="FF3E8A8B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5" min="4" style="0" width="22"/>
    <col collapsed="false" customWidth="true" hidden="false" outlineLevel="0" max="9" min="6" style="0" width="14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48"/>
    <col collapsed="false" customWidth="true" hidden="false" outlineLevel="0" max="13" min="13" style="0" width="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/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9.5" hidden="false" customHeight="tru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19</v>
      </c>
      <c r="H5" s="4" t="s">
        <v>21</v>
      </c>
      <c r="I5" s="4" t="s">
        <v>22</v>
      </c>
      <c r="J5" s="4" t="s">
        <v>23</v>
      </c>
      <c r="K5" s="4" t="s">
        <v>24</v>
      </c>
      <c r="L5" s="5" t="s">
        <v>25</v>
      </c>
    </row>
    <row r="6" customFormat="false" ht="19.5" hidden="false" customHeight="true" outlineLevel="0" collapsed="false">
      <c r="A6" s="6" t="s">
        <v>26</v>
      </c>
      <c r="B6" s="6" t="s">
        <v>16</v>
      </c>
      <c r="C6" s="6" t="s">
        <v>27</v>
      </c>
      <c r="D6" s="6" t="s">
        <v>18</v>
      </c>
      <c r="E6" s="6" t="s">
        <v>28</v>
      </c>
      <c r="F6" s="6" t="s">
        <v>20</v>
      </c>
      <c r="G6" s="6" t="s">
        <v>19</v>
      </c>
      <c r="H6" s="6" t="s">
        <v>21</v>
      </c>
      <c r="I6" s="6" t="s">
        <v>22</v>
      </c>
      <c r="J6" s="6" t="s">
        <v>29</v>
      </c>
      <c r="K6" s="6" t="s">
        <v>30</v>
      </c>
      <c r="L6" s="5" t="s">
        <v>31</v>
      </c>
    </row>
    <row r="7" customFormat="false" ht="19.5" hidden="false" customHeight="true" outlineLevel="0" collapsed="false">
      <c r="A7" s="4" t="s">
        <v>32</v>
      </c>
      <c r="B7" s="4" t="s">
        <v>16</v>
      </c>
      <c r="C7" s="4" t="s">
        <v>33</v>
      </c>
      <c r="D7" s="4" t="s">
        <v>18</v>
      </c>
      <c r="E7" s="4" t="s">
        <v>19</v>
      </c>
      <c r="F7" s="4" t="s">
        <v>20</v>
      </c>
      <c r="G7" s="4" t="s">
        <v>19</v>
      </c>
      <c r="H7" s="4" t="s">
        <v>21</v>
      </c>
      <c r="I7" s="4" t="s">
        <v>22</v>
      </c>
      <c r="J7" s="4" t="s">
        <v>29</v>
      </c>
      <c r="K7" s="4" t="s">
        <v>24</v>
      </c>
      <c r="L7" s="5" t="s">
        <v>34</v>
      </c>
    </row>
    <row r="8" customFormat="false" ht="19.5" hidden="false" customHeight="true" outlineLevel="0" collapsed="false">
      <c r="A8" s="6" t="s">
        <v>35</v>
      </c>
      <c r="B8" s="6" t="s">
        <v>16</v>
      </c>
      <c r="C8" s="6" t="s">
        <v>36</v>
      </c>
      <c r="D8" s="6" t="s">
        <v>18</v>
      </c>
      <c r="E8" s="6" t="s">
        <v>37</v>
      </c>
      <c r="F8" s="6" t="s">
        <v>20</v>
      </c>
      <c r="G8" s="6" t="s">
        <v>19</v>
      </c>
      <c r="H8" s="6" t="s">
        <v>21</v>
      </c>
      <c r="I8" s="6" t="s">
        <v>22</v>
      </c>
      <c r="J8" s="6" t="s">
        <v>29</v>
      </c>
      <c r="K8" s="6" t="s">
        <v>38</v>
      </c>
      <c r="L8" s="5" t="s">
        <v>39</v>
      </c>
    </row>
    <row r="9" customFormat="false" ht="19.5" hidden="false" customHeight="true" outlineLevel="0" collapsed="false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19</v>
      </c>
      <c r="H9" s="4" t="s">
        <v>21</v>
      </c>
      <c r="I9" s="4" t="s">
        <v>22</v>
      </c>
      <c r="J9" s="4" t="s">
        <v>23</v>
      </c>
      <c r="K9" s="4" t="s">
        <v>46</v>
      </c>
      <c r="L9" s="7" t="s">
        <v>47</v>
      </c>
    </row>
    <row r="10" customFormat="false" ht="19.5" hidden="false" customHeight="true" outlineLevel="0" collapsed="false">
      <c r="A10" s="6" t="s">
        <v>48</v>
      </c>
      <c r="B10" s="6" t="s">
        <v>41</v>
      </c>
      <c r="C10" s="6" t="s">
        <v>49</v>
      </c>
      <c r="D10" s="6" t="s">
        <v>43</v>
      </c>
      <c r="E10" s="6" t="s">
        <v>44</v>
      </c>
      <c r="F10" s="6" t="s">
        <v>45</v>
      </c>
      <c r="G10" s="6" t="s">
        <v>19</v>
      </c>
      <c r="H10" s="6" t="s">
        <v>21</v>
      </c>
      <c r="I10" s="6" t="s">
        <v>22</v>
      </c>
      <c r="J10" s="6" t="s">
        <v>23</v>
      </c>
      <c r="K10" s="6" t="s">
        <v>50</v>
      </c>
      <c r="L10" s="7" t="s">
        <v>51</v>
      </c>
    </row>
    <row r="11" customFormat="false" ht="19.5" hidden="false" customHeight="true" outlineLevel="0" collapsed="false">
      <c r="A11" s="4" t="s">
        <v>52</v>
      </c>
      <c r="B11" s="4" t="s">
        <v>41</v>
      </c>
      <c r="C11" s="4" t="s">
        <v>53</v>
      </c>
      <c r="D11" s="4" t="s">
        <v>43</v>
      </c>
      <c r="E11" s="4" t="s">
        <v>54</v>
      </c>
      <c r="F11" s="4" t="s">
        <v>45</v>
      </c>
      <c r="G11" s="4" t="s">
        <v>19</v>
      </c>
      <c r="H11" s="4" t="s">
        <v>21</v>
      </c>
      <c r="I11" s="4" t="s">
        <v>22</v>
      </c>
      <c r="J11" s="4" t="s">
        <v>23</v>
      </c>
      <c r="K11" s="4" t="s">
        <v>55</v>
      </c>
      <c r="L11" s="7" t="s">
        <v>56</v>
      </c>
    </row>
    <row r="12" customFormat="false" ht="19.5" hidden="false" customHeight="true" outlineLevel="0" collapsed="false">
      <c r="A12" s="6" t="s">
        <v>57</v>
      </c>
      <c r="B12" s="6" t="s">
        <v>41</v>
      </c>
      <c r="C12" s="6" t="s">
        <v>58</v>
      </c>
      <c r="D12" s="6" t="s">
        <v>43</v>
      </c>
      <c r="E12" s="6" t="s">
        <v>37</v>
      </c>
      <c r="F12" s="6" t="s">
        <v>45</v>
      </c>
      <c r="G12" s="6" t="s">
        <v>19</v>
      </c>
      <c r="H12" s="6" t="s">
        <v>21</v>
      </c>
      <c r="I12" s="6" t="s">
        <v>22</v>
      </c>
      <c r="J12" s="6" t="s">
        <v>23</v>
      </c>
      <c r="K12" s="6" t="s">
        <v>59</v>
      </c>
      <c r="L12" s="7" t="s">
        <v>60</v>
      </c>
    </row>
    <row r="13" customFormat="false" ht="19.5" hidden="false" customHeight="true" outlineLevel="0" collapsed="false">
      <c r="A13" s="4" t="s">
        <v>61</v>
      </c>
      <c r="B13" s="4" t="s">
        <v>41</v>
      </c>
      <c r="C13" s="4" t="s">
        <v>62</v>
      </c>
      <c r="D13" s="4" t="s">
        <v>43</v>
      </c>
      <c r="E13" s="4" t="s">
        <v>44</v>
      </c>
      <c r="F13" s="4" t="s">
        <v>45</v>
      </c>
      <c r="G13" s="4" t="s">
        <v>19</v>
      </c>
      <c r="H13" s="4" t="s">
        <v>21</v>
      </c>
      <c r="I13" s="4" t="s">
        <v>22</v>
      </c>
      <c r="J13" s="4" t="s">
        <v>29</v>
      </c>
      <c r="K13" s="4" t="s">
        <v>55</v>
      </c>
      <c r="L13" s="5" t="s">
        <v>63</v>
      </c>
    </row>
    <row r="14" customFormat="false" ht="19.5" hidden="false" customHeight="true" outlineLevel="0" collapsed="false">
      <c r="A14" s="6" t="s">
        <v>64</v>
      </c>
      <c r="B14" s="6" t="s">
        <v>65</v>
      </c>
      <c r="C14" s="6" t="s">
        <v>66</v>
      </c>
      <c r="D14" s="6" t="s">
        <v>43</v>
      </c>
      <c r="E14" s="6" t="s">
        <v>44</v>
      </c>
      <c r="F14" s="6" t="s">
        <v>67</v>
      </c>
      <c r="G14" s="6" t="s">
        <v>19</v>
      </c>
      <c r="H14" s="6" t="s">
        <v>21</v>
      </c>
      <c r="I14" s="6" t="s">
        <v>22</v>
      </c>
      <c r="J14" s="6" t="s">
        <v>23</v>
      </c>
      <c r="K14" s="6" t="s">
        <v>68</v>
      </c>
      <c r="L14" s="7" t="s">
        <v>69</v>
      </c>
    </row>
    <row r="15" customFormat="false" ht="19.5" hidden="false" customHeight="true" outlineLevel="0" collapsed="false">
      <c r="A15" s="4" t="s">
        <v>70</v>
      </c>
      <c r="B15" s="4" t="s">
        <v>65</v>
      </c>
      <c r="C15" s="4" t="s">
        <v>71</v>
      </c>
      <c r="D15" s="4" t="s">
        <v>43</v>
      </c>
      <c r="E15" s="4" t="s">
        <v>44</v>
      </c>
      <c r="F15" s="4" t="s">
        <v>67</v>
      </c>
      <c r="G15" s="4" t="s">
        <v>19</v>
      </c>
      <c r="H15" s="4" t="s">
        <v>21</v>
      </c>
      <c r="I15" s="4" t="s">
        <v>22</v>
      </c>
      <c r="J15" s="4" t="s">
        <v>23</v>
      </c>
      <c r="K15" s="4" t="s">
        <v>68</v>
      </c>
      <c r="L15" s="7" t="s">
        <v>72</v>
      </c>
    </row>
    <row r="16" customFormat="false" ht="19.5" hidden="false" customHeight="true" outlineLevel="0" collapsed="false">
      <c r="A16" s="6" t="s">
        <v>73</v>
      </c>
      <c r="B16" s="6" t="s">
        <v>65</v>
      </c>
      <c r="C16" s="6" t="s">
        <v>74</v>
      </c>
      <c r="D16" s="6" t="s">
        <v>43</v>
      </c>
      <c r="E16" s="6" t="s">
        <v>44</v>
      </c>
      <c r="F16" s="6" t="s">
        <v>67</v>
      </c>
      <c r="G16" s="6" t="s">
        <v>19</v>
      </c>
      <c r="H16" s="6" t="s">
        <v>21</v>
      </c>
      <c r="I16" s="6" t="s">
        <v>22</v>
      </c>
      <c r="J16" s="6" t="s">
        <v>23</v>
      </c>
      <c r="K16" s="6" t="s">
        <v>68</v>
      </c>
      <c r="L16" s="7" t="s">
        <v>75</v>
      </c>
    </row>
    <row r="17" customFormat="false" ht="19.5" hidden="false" customHeight="true" outlineLevel="0" collapsed="false">
      <c r="A17" s="4" t="s">
        <v>76</v>
      </c>
      <c r="B17" s="4" t="s">
        <v>77</v>
      </c>
      <c r="C17" s="4" t="s">
        <v>78</v>
      </c>
      <c r="D17" s="4" t="s">
        <v>18</v>
      </c>
      <c r="E17" s="4" t="s">
        <v>79</v>
      </c>
      <c r="F17" s="4" t="s">
        <v>80</v>
      </c>
      <c r="G17" s="4" t="s">
        <v>19</v>
      </c>
      <c r="H17" s="4" t="s">
        <v>21</v>
      </c>
      <c r="I17" s="4" t="s">
        <v>22</v>
      </c>
      <c r="J17" s="4" t="s">
        <v>23</v>
      </c>
      <c r="K17" s="4" t="s">
        <v>81</v>
      </c>
      <c r="L17" s="7" t="s">
        <v>82</v>
      </c>
    </row>
    <row r="18" customFormat="false" ht="19.5" hidden="false" customHeight="true" outlineLevel="0" collapsed="false">
      <c r="A18" s="6" t="s">
        <v>83</v>
      </c>
      <c r="B18" s="6" t="s">
        <v>77</v>
      </c>
      <c r="C18" s="6" t="s">
        <v>84</v>
      </c>
      <c r="D18" s="6" t="s">
        <v>85</v>
      </c>
      <c r="E18" s="6" t="s">
        <v>44</v>
      </c>
      <c r="F18" s="6" t="s">
        <v>80</v>
      </c>
      <c r="G18" s="6" t="s">
        <v>19</v>
      </c>
      <c r="H18" s="6" t="s">
        <v>21</v>
      </c>
      <c r="I18" s="6" t="s">
        <v>22</v>
      </c>
      <c r="J18" s="6" t="s">
        <v>23</v>
      </c>
      <c r="K18" s="6" t="s">
        <v>86</v>
      </c>
      <c r="L18" s="7" t="s">
        <v>87</v>
      </c>
    </row>
    <row r="19" customFormat="false" ht="19.5" hidden="false" customHeight="true" outlineLevel="0" collapsed="false">
      <c r="A19" s="4" t="s">
        <v>88</v>
      </c>
      <c r="B19" s="4" t="s">
        <v>77</v>
      </c>
      <c r="C19" s="4" t="s">
        <v>89</v>
      </c>
      <c r="D19" s="4" t="s">
        <v>44</v>
      </c>
      <c r="E19" s="4" t="s">
        <v>90</v>
      </c>
      <c r="F19" s="4" t="s">
        <v>80</v>
      </c>
      <c r="G19" s="4" t="s">
        <v>19</v>
      </c>
      <c r="H19" s="4" t="s">
        <v>21</v>
      </c>
      <c r="I19" s="4" t="s">
        <v>22</v>
      </c>
      <c r="J19" s="4" t="s">
        <v>23</v>
      </c>
      <c r="K19" s="4" t="s">
        <v>86</v>
      </c>
      <c r="L19" s="7" t="s">
        <v>91</v>
      </c>
    </row>
    <row r="20" customFormat="false" ht="19.5" hidden="false" customHeight="true" outlineLevel="0" collapsed="false">
      <c r="A20" s="6" t="s">
        <v>92</v>
      </c>
      <c r="B20" s="6" t="s">
        <v>77</v>
      </c>
      <c r="C20" s="6" t="s">
        <v>93</v>
      </c>
      <c r="D20" s="6" t="s">
        <v>44</v>
      </c>
      <c r="E20" s="6" t="s">
        <v>43</v>
      </c>
      <c r="F20" s="6" t="s">
        <v>94</v>
      </c>
      <c r="G20" s="6" t="s">
        <v>19</v>
      </c>
      <c r="H20" s="6" t="s">
        <v>21</v>
      </c>
      <c r="I20" s="6" t="s">
        <v>22</v>
      </c>
      <c r="J20" s="6" t="s">
        <v>29</v>
      </c>
      <c r="K20" s="6" t="s">
        <v>95</v>
      </c>
      <c r="L20" s="5" t="s">
        <v>96</v>
      </c>
    </row>
    <row r="21" customFormat="false" ht="19.5" hidden="false" customHeight="true" outlineLevel="0" collapsed="false">
      <c r="A21" s="4" t="s">
        <v>97</v>
      </c>
      <c r="B21" s="4" t="s">
        <v>77</v>
      </c>
      <c r="C21" s="4" t="s">
        <v>98</v>
      </c>
      <c r="D21" s="4" t="s">
        <v>44</v>
      </c>
      <c r="E21" s="4" t="s">
        <v>99</v>
      </c>
      <c r="F21" s="4" t="s">
        <v>80</v>
      </c>
      <c r="G21" s="4" t="s">
        <v>19</v>
      </c>
      <c r="H21" s="4" t="s">
        <v>21</v>
      </c>
      <c r="I21" s="4" t="s">
        <v>22</v>
      </c>
      <c r="J21" s="4" t="s">
        <v>23</v>
      </c>
      <c r="K21" s="4" t="s">
        <v>100</v>
      </c>
      <c r="L21" s="5" t="s">
        <v>101</v>
      </c>
    </row>
    <row r="22" customFormat="false" ht="19.5" hidden="false" customHeight="true" outlineLevel="0" collapsed="false">
      <c r="A22" s="6" t="s">
        <v>102</v>
      </c>
      <c r="B22" s="6" t="s">
        <v>103</v>
      </c>
      <c r="C22" s="6" t="s">
        <v>104</v>
      </c>
      <c r="D22" s="6" t="s">
        <v>90</v>
      </c>
      <c r="E22" s="6" t="s">
        <v>99</v>
      </c>
      <c r="F22" s="6" t="s">
        <v>105</v>
      </c>
      <c r="G22" s="6" t="s">
        <v>19</v>
      </c>
      <c r="H22" s="6" t="s">
        <v>21</v>
      </c>
      <c r="I22" s="6" t="s">
        <v>19</v>
      </c>
      <c r="J22" s="6" t="s">
        <v>23</v>
      </c>
      <c r="K22" s="6" t="s">
        <v>106</v>
      </c>
      <c r="L22" s="7" t="s">
        <v>107</v>
      </c>
    </row>
    <row r="23" customFormat="false" ht="19.5" hidden="false" customHeight="true" outlineLevel="0" collapsed="false">
      <c r="A23" s="4" t="s">
        <v>108</v>
      </c>
      <c r="B23" s="4" t="s">
        <v>103</v>
      </c>
      <c r="C23" s="4" t="s">
        <v>109</v>
      </c>
      <c r="D23" s="4" t="s">
        <v>44</v>
      </c>
      <c r="E23" s="4" t="s">
        <v>99</v>
      </c>
      <c r="F23" s="4" t="s">
        <v>80</v>
      </c>
      <c r="G23" s="4" t="s">
        <v>19</v>
      </c>
      <c r="H23" s="4" t="s">
        <v>21</v>
      </c>
      <c r="I23" s="4" t="s">
        <v>19</v>
      </c>
      <c r="J23" s="4" t="s">
        <v>23</v>
      </c>
      <c r="K23" s="4" t="s">
        <v>110</v>
      </c>
      <c r="L23" s="7" t="s">
        <v>111</v>
      </c>
    </row>
    <row r="24" customFormat="false" ht="19.5" hidden="false" customHeight="true" outlineLevel="0" collapsed="false">
      <c r="A24" s="6" t="s">
        <v>112</v>
      </c>
      <c r="B24" s="6" t="s">
        <v>103</v>
      </c>
      <c r="C24" s="6" t="s">
        <v>113</v>
      </c>
      <c r="D24" s="6" t="s">
        <v>114</v>
      </c>
      <c r="E24" s="6" t="s">
        <v>44</v>
      </c>
      <c r="F24" s="6" t="s">
        <v>115</v>
      </c>
      <c r="G24" s="6" t="s">
        <v>19</v>
      </c>
      <c r="H24" s="6" t="s">
        <v>21</v>
      </c>
      <c r="I24" s="6" t="s">
        <v>19</v>
      </c>
      <c r="J24" s="6" t="s">
        <v>23</v>
      </c>
      <c r="K24" s="6" t="s">
        <v>116</v>
      </c>
      <c r="L24" s="7" t="s">
        <v>117</v>
      </c>
    </row>
    <row r="25" customFormat="false" ht="19.5" hidden="false" customHeight="true" outlineLevel="0" collapsed="false">
      <c r="A25" s="4" t="s">
        <v>118</v>
      </c>
      <c r="B25" s="4" t="s">
        <v>103</v>
      </c>
      <c r="C25" s="4" t="s">
        <v>119</v>
      </c>
      <c r="D25" s="4" t="s">
        <v>90</v>
      </c>
      <c r="E25" s="4" t="s">
        <v>99</v>
      </c>
      <c r="F25" s="4" t="s">
        <v>120</v>
      </c>
      <c r="G25" s="4" t="s">
        <v>19</v>
      </c>
      <c r="H25" s="4" t="s">
        <v>21</v>
      </c>
      <c r="I25" s="4" t="s">
        <v>19</v>
      </c>
      <c r="J25" s="4" t="s">
        <v>29</v>
      </c>
      <c r="K25" s="4" t="s">
        <v>121</v>
      </c>
      <c r="L25" s="5" t="s">
        <v>122</v>
      </c>
    </row>
    <row r="26" customFormat="false" ht="19.5" hidden="false" customHeight="true" outlineLevel="0" collapsed="false">
      <c r="A26" s="6" t="s">
        <v>123</v>
      </c>
      <c r="B26" s="6" t="s">
        <v>124</v>
      </c>
      <c r="C26" s="6" t="s">
        <v>125</v>
      </c>
      <c r="D26" s="6" t="s">
        <v>90</v>
      </c>
      <c r="E26" s="6" t="s">
        <v>44</v>
      </c>
      <c r="F26" s="6" t="s">
        <v>126</v>
      </c>
      <c r="G26" s="6" t="s">
        <v>19</v>
      </c>
      <c r="H26" s="6" t="s">
        <v>21</v>
      </c>
      <c r="I26" s="6" t="s">
        <v>22</v>
      </c>
      <c r="J26" s="6" t="s">
        <v>23</v>
      </c>
      <c r="K26" s="6" t="s">
        <v>127</v>
      </c>
      <c r="L26" s="5" t="s">
        <v>128</v>
      </c>
    </row>
    <row r="27" customFormat="false" ht="19.5" hidden="false" customHeight="true" outlineLevel="0" collapsed="false">
      <c r="A27" s="4" t="s">
        <v>129</v>
      </c>
      <c r="B27" s="4" t="s">
        <v>124</v>
      </c>
      <c r="C27" s="4" t="s">
        <v>130</v>
      </c>
      <c r="D27" s="4" t="s">
        <v>90</v>
      </c>
      <c r="E27" s="4" t="s">
        <v>54</v>
      </c>
      <c r="F27" s="4" t="s">
        <v>131</v>
      </c>
      <c r="G27" s="4" t="s">
        <v>19</v>
      </c>
      <c r="H27" s="4" t="s">
        <v>21</v>
      </c>
      <c r="I27" s="4" t="s">
        <v>22</v>
      </c>
      <c r="J27" s="4" t="s">
        <v>23</v>
      </c>
      <c r="K27" s="4" t="s">
        <v>127</v>
      </c>
      <c r="L27" s="5" t="s">
        <v>132</v>
      </c>
    </row>
    <row r="28" customFormat="false" ht="19.5" hidden="false" customHeight="true" outlineLevel="0" collapsed="false">
      <c r="A28" s="6" t="s">
        <v>133</v>
      </c>
      <c r="B28" s="6" t="s">
        <v>124</v>
      </c>
      <c r="C28" s="6" t="s">
        <v>134</v>
      </c>
      <c r="D28" s="6" t="s">
        <v>90</v>
      </c>
      <c r="E28" s="6" t="s">
        <v>44</v>
      </c>
      <c r="F28" s="6" t="s">
        <v>135</v>
      </c>
      <c r="G28" s="6" t="s">
        <v>19</v>
      </c>
      <c r="H28" s="6" t="s">
        <v>21</v>
      </c>
      <c r="I28" s="6" t="s">
        <v>22</v>
      </c>
      <c r="J28" s="6" t="s">
        <v>29</v>
      </c>
      <c r="K28" s="6" t="s">
        <v>136</v>
      </c>
      <c r="L28" s="8" t="s">
        <v>137</v>
      </c>
    </row>
    <row r="29" customFormat="false" ht="19.5" hidden="false" customHeight="true" outlineLevel="0" collapsed="false">
      <c r="A29" s="4" t="s">
        <v>138</v>
      </c>
      <c r="B29" s="4" t="s">
        <v>124</v>
      </c>
      <c r="C29" s="4" t="s">
        <v>139</v>
      </c>
      <c r="D29" s="4" t="s">
        <v>43</v>
      </c>
      <c r="E29" s="4" t="s">
        <v>140</v>
      </c>
      <c r="F29" s="4" t="s">
        <v>141</v>
      </c>
      <c r="G29" s="4" t="s">
        <v>19</v>
      </c>
      <c r="H29" s="4" t="s">
        <v>21</v>
      </c>
      <c r="I29" s="4" t="s">
        <v>22</v>
      </c>
      <c r="J29" s="4" t="s">
        <v>23</v>
      </c>
      <c r="K29" s="4" t="s">
        <v>142</v>
      </c>
      <c r="L29" s="7" t="s">
        <v>143</v>
      </c>
    </row>
    <row r="30" customFormat="false" ht="19.5" hidden="false" customHeight="true" outlineLevel="0" collapsed="false">
      <c r="A30" s="6" t="s">
        <v>144</v>
      </c>
      <c r="B30" s="6" t="s">
        <v>145</v>
      </c>
      <c r="C30" s="6" t="s">
        <v>146</v>
      </c>
      <c r="D30" s="6" t="s">
        <v>43</v>
      </c>
      <c r="E30" s="6" t="s">
        <v>44</v>
      </c>
      <c r="F30" s="6" t="s">
        <v>147</v>
      </c>
      <c r="G30" s="6" t="s">
        <v>19</v>
      </c>
      <c r="H30" s="6" t="s">
        <v>21</v>
      </c>
      <c r="I30" s="6" t="s">
        <v>22</v>
      </c>
      <c r="J30" s="6" t="s">
        <v>23</v>
      </c>
      <c r="K30" s="6" t="s">
        <v>148</v>
      </c>
      <c r="L30" s="5" t="s">
        <v>149</v>
      </c>
    </row>
    <row r="31" customFormat="false" ht="19.5" hidden="false" customHeight="true" outlineLevel="0" collapsed="false">
      <c r="A31" s="4" t="s">
        <v>150</v>
      </c>
      <c r="B31" s="4" t="s">
        <v>145</v>
      </c>
      <c r="C31" s="4" t="s">
        <v>151</v>
      </c>
      <c r="D31" s="4" t="s">
        <v>44</v>
      </c>
      <c r="E31" s="4" t="s">
        <v>43</v>
      </c>
      <c r="F31" s="4" t="s">
        <v>152</v>
      </c>
      <c r="G31" s="4" t="s">
        <v>19</v>
      </c>
      <c r="H31" s="4" t="s">
        <v>21</v>
      </c>
      <c r="I31" s="4" t="s">
        <v>19</v>
      </c>
      <c r="J31" s="4" t="s">
        <v>23</v>
      </c>
      <c r="K31" s="4" t="s">
        <v>148</v>
      </c>
      <c r="L31" s="7" t="s">
        <v>153</v>
      </c>
    </row>
    <row r="32" customFormat="false" ht="19.5" hidden="false" customHeight="true" outlineLevel="0" collapsed="false">
      <c r="A32" s="6" t="s">
        <v>154</v>
      </c>
      <c r="B32" s="6" t="s">
        <v>145</v>
      </c>
      <c r="C32" s="6" t="s">
        <v>155</v>
      </c>
      <c r="D32" s="6" t="s">
        <v>43</v>
      </c>
      <c r="E32" s="6" t="s">
        <v>44</v>
      </c>
      <c r="F32" s="6" t="s">
        <v>156</v>
      </c>
      <c r="G32" s="6" t="s">
        <v>19</v>
      </c>
      <c r="H32" s="6" t="s">
        <v>21</v>
      </c>
      <c r="I32" s="6" t="s">
        <v>19</v>
      </c>
      <c r="J32" s="6" t="s">
        <v>23</v>
      </c>
      <c r="K32" s="6" t="s">
        <v>148</v>
      </c>
      <c r="L32" s="7" t="s">
        <v>157</v>
      </c>
    </row>
    <row r="33" customFormat="false" ht="19.5" hidden="false" customHeight="true" outlineLevel="0" collapsed="false">
      <c r="A33" s="4" t="s">
        <v>158</v>
      </c>
      <c r="B33" s="4" t="s">
        <v>145</v>
      </c>
      <c r="C33" s="4" t="s">
        <v>159</v>
      </c>
      <c r="D33" s="4" t="s">
        <v>54</v>
      </c>
      <c r="E33" s="4" t="s">
        <v>90</v>
      </c>
      <c r="F33" s="4" t="s">
        <v>141</v>
      </c>
      <c r="G33" s="4" t="s">
        <v>19</v>
      </c>
      <c r="H33" s="4" t="s">
        <v>21</v>
      </c>
      <c r="I33" s="4" t="s">
        <v>19</v>
      </c>
      <c r="J33" s="4" t="s">
        <v>23</v>
      </c>
      <c r="K33" s="4" t="s">
        <v>148</v>
      </c>
      <c r="L33" s="7" t="s">
        <v>160</v>
      </c>
    </row>
    <row r="34" customFormat="false" ht="19.5" hidden="false" customHeight="true" outlineLevel="0" collapsed="false">
      <c r="A34" s="6" t="s">
        <v>161</v>
      </c>
      <c r="B34" s="6" t="s">
        <v>162</v>
      </c>
      <c r="C34" s="6" t="s">
        <v>163</v>
      </c>
      <c r="D34" s="6" t="s">
        <v>43</v>
      </c>
      <c r="E34" s="6" t="s">
        <v>164</v>
      </c>
      <c r="F34" s="6" t="s">
        <v>165</v>
      </c>
      <c r="G34" s="6" t="s">
        <v>19</v>
      </c>
      <c r="H34" s="6" t="s">
        <v>21</v>
      </c>
      <c r="I34" s="6" t="s">
        <v>19</v>
      </c>
      <c r="J34" s="6" t="s">
        <v>23</v>
      </c>
      <c r="K34" s="6" t="s">
        <v>166</v>
      </c>
      <c r="L34" s="7" t="s">
        <v>167</v>
      </c>
    </row>
    <row r="35" customFormat="false" ht="19.5" hidden="false" customHeight="true" outlineLevel="0" collapsed="false">
      <c r="A35" s="4" t="s">
        <v>168</v>
      </c>
      <c r="B35" s="4" t="s">
        <v>162</v>
      </c>
      <c r="C35" s="4" t="s">
        <v>169</v>
      </c>
      <c r="D35" s="4" t="s">
        <v>44</v>
      </c>
      <c r="E35" s="4" t="s">
        <v>170</v>
      </c>
      <c r="F35" s="4" t="s">
        <v>165</v>
      </c>
      <c r="G35" s="4" t="s">
        <v>19</v>
      </c>
      <c r="H35" s="4" t="s">
        <v>21</v>
      </c>
      <c r="I35" s="4" t="s">
        <v>19</v>
      </c>
      <c r="J35" s="4" t="s">
        <v>23</v>
      </c>
      <c r="K35" s="4" t="s">
        <v>171</v>
      </c>
      <c r="L35" s="7" t="s">
        <v>172</v>
      </c>
    </row>
    <row r="36" customFormat="false" ht="19.5" hidden="false" customHeight="true" outlineLevel="0" collapsed="false">
      <c r="A36" s="6" t="s">
        <v>173</v>
      </c>
      <c r="B36" s="6" t="s">
        <v>162</v>
      </c>
      <c r="C36" s="6" t="s">
        <v>174</v>
      </c>
      <c r="D36" s="6" t="s">
        <v>90</v>
      </c>
      <c r="E36" s="6" t="s">
        <v>44</v>
      </c>
      <c r="F36" s="6" t="s">
        <v>165</v>
      </c>
      <c r="G36" s="6" t="s">
        <v>19</v>
      </c>
      <c r="H36" s="6" t="s">
        <v>21</v>
      </c>
      <c r="I36" s="6" t="s">
        <v>19</v>
      </c>
      <c r="J36" s="6" t="s">
        <v>29</v>
      </c>
      <c r="K36" s="6" t="s">
        <v>38</v>
      </c>
      <c r="L36" s="5" t="s">
        <v>175</v>
      </c>
    </row>
    <row r="37" customFormat="false" ht="19.5" hidden="false" customHeight="true" outlineLevel="0" collapsed="false">
      <c r="A37" s="4" t="s">
        <v>176</v>
      </c>
      <c r="B37" s="4" t="s">
        <v>177</v>
      </c>
      <c r="C37" s="4" t="s">
        <v>178</v>
      </c>
      <c r="D37" s="4" t="s">
        <v>18</v>
      </c>
      <c r="E37" s="4" t="s">
        <v>44</v>
      </c>
      <c r="F37" s="4" t="s">
        <v>179</v>
      </c>
      <c r="G37" s="4" t="s">
        <v>19</v>
      </c>
      <c r="H37" s="4" t="s">
        <v>180</v>
      </c>
      <c r="I37" s="4" t="s">
        <v>19</v>
      </c>
      <c r="J37" s="4" t="s">
        <v>29</v>
      </c>
      <c r="K37" s="4" t="s">
        <v>24</v>
      </c>
      <c r="L37" s="5" t="s">
        <v>181</v>
      </c>
    </row>
    <row r="38" customFormat="false" ht="19.5" hidden="false" customHeight="true" outlineLevel="0" collapsed="false">
      <c r="A38" s="6" t="s">
        <v>182</v>
      </c>
      <c r="B38" s="6" t="s">
        <v>177</v>
      </c>
      <c r="C38" s="6" t="s">
        <v>183</v>
      </c>
      <c r="D38" s="6" t="s">
        <v>18</v>
      </c>
      <c r="E38" s="6" t="s">
        <v>19</v>
      </c>
      <c r="F38" s="6" t="s">
        <v>179</v>
      </c>
      <c r="G38" s="6" t="s">
        <v>19</v>
      </c>
      <c r="H38" s="6" t="s">
        <v>180</v>
      </c>
      <c r="I38" s="6" t="s">
        <v>19</v>
      </c>
      <c r="J38" s="6" t="s">
        <v>29</v>
      </c>
      <c r="K38" s="6" t="s">
        <v>24</v>
      </c>
      <c r="L38" s="5" t="s">
        <v>184</v>
      </c>
    </row>
    <row r="39" customFormat="false" ht="19.5" hidden="false" customHeight="true" outlineLevel="0" collapsed="false">
      <c r="A39" s="4" t="s">
        <v>185</v>
      </c>
      <c r="B39" s="4" t="s">
        <v>177</v>
      </c>
      <c r="C39" s="4" t="s">
        <v>186</v>
      </c>
      <c r="D39" s="4" t="s">
        <v>44</v>
      </c>
      <c r="E39" s="4" t="s">
        <v>18</v>
      </c>
      <c r="F39" s="4" t="s">
        <v>187</v>
      </c>
      <c r="G39" s="4" t="s">
        <v>19</v>
      </c>
      <c r="H39" s="4" t="s">
        <v>21</v>
      </c>
      <c r="I39" s="4" t="s">
        <v>22</v>
      </c>
      <c r="J39" s="4" t="s">
        <v>29</v>
      </c>
      <c r="K39" s="4" t="s">
        <v>188</v>
      </c>
      <c r="L39" s="8" t="s">
        <v>189</v>
      </c>
    </row>
  </sheetData>
  <autoFilter ref="A4:M39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0"/>
    <col collapsed="false" customWidth="true" hidden="false" outlineLevel="0" max="6" min="6" style="0" width="12"/>
    <col collapsed="false" customWidth="true" hidden="false" outlineLevel="0" max="7" min="7" style="0" width="50"/>
  </cols>
  <sheetData>
    <row r="1" customFormat="false" ht="30" hidden="false" customHeight="true" outlineLevel="0" collapsed="false">
      <c r="A1" s="9" t="s">
        <v>190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customFormat="false" ht="15.75" hidden="false" customHeight="true" outlineLevel="0" collapsed="false">
      <c r="A2" s="2" t="s">
        <v>191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/>
    <row r="4" customFormat="false" ht="24" hidden="false" customHeight="true" outlineLevel="0" collapsed="false">
      <c r="A4" s="10" t="s">
        <v>3</v>
      </c>
      <c r="B4" s="10" t="s">
        <v>192</v>
      </c>
      <c r="C4" s="10" t="s">
        <v>193</v>
      </c>
      <c r="D4" s="10" t="s">
        <v>194</v>
      </c>
      <c r="E4" s="10" t="s">
        <v>195</v>
      </c>
      <c r="F4" s="10" t="s">
        <v>196</v>
      </c>
      <c r="G4" s="10" t="s">
        <v>197</v>
      </c>
    </row>
    <row r="5" customFormat="false" ht="21.75" hidden="false" customHeight="true" outlineLevel="0" collapsed="false">
      <c r="A5" s="11" t="s">
        <v>16</v>
      </c>
      <c r="B5" s="12" t="n">
        <v>4</v>
      </c>
      <c r="C5" s="12" t="n">
        <v>0</v>
      </c>
      <c r="D5" s="13" t="n">
        <v>4</v>
      </c>
      <c r="E5" s="12" t="n">
        <v>0</v>
      </c>
      <c r="F5" s="14" t="n">
        <f aca="false">E5/B5</f>
        <v>0</v>
      </c>
      <c r="G5" s="15" t="s">
        <v>198</v>
      </c>
    </row>
    <row r="6" customFormat="false" ht="21.75" hidden="false" customHeight="true" outlineLevel="0" collapsed="false">
      <c r="A6" s="16" t="s">
        <v>41</v>
      </c>
      <c r="B6" s="17" t="n">
        <v>5</v>
      </c>
      <c r="C6" s="18" t="n">
        <v>4</v>
      </c>
      <c r="D6" s="13" t="n">
        <v>1</v>
      </c>
      <c r="E6" s="17" t="n">
        <v>0</v>
      </c>
      <c r="F6" s="19" t="n">
        <f aca="false">E6/B6</f>
        <v>0</v>
      </c>
      <c r="G6" s="20" t="s">
        <v>199</v>
      </c>
    </row>
    <row r="7" customFormat="false" ht="21.75" hidden="false" customHeight="true" outlineLevel="0" collapsed="false">
      <c r="A7" s="11" t="s">
        <v>65</v>
      </c>
      <c r="B7" s="12" t="n">
        <v>3</v>
      </c>
      <c r="C7" s="18" t="n">
        <v>3</v>
      </c>
      <c r="D7" s="12" t="n">
        <v>0</v>
      </c>
      <c r="E7" s="12" t="n">
        <v>0</v>
      </c>
      <c r="F7" s="14" t="n">
        <f aca="false">E7/B7</f>
        <v>0</v>
      </c>
      <c r="G7" s="15" t="s">
        <v>200</v>
      </c>
    </row>
    <row r="8" customFormat="false" ht="21.75" hidden="false" customHeight="true" outlineLevel="0" collapsed="false">
      <c r="A8" s="16" t="s">
        <v>77</v>
      </c>
      <c r="B8" s="17" t="n">
        <v>5</v>
      </c>
      <c r="C8" s="18" t="n">
        <v>3</v>
      </c>
      <c r="D8" s="13" t="n">
        <v>2</v>
      </c>
      <c r="E8" s="17" t="n">
        <v>0</v>
      </c>
      <c r="F8" s="19" t="n">
        <f aca="false">E8/B8</f>
        <v>0</v>
      </c>
      <c r="G8" s="20" t="s">
        <v>201</v>
      </c>
    </row>
    <row r="9" customFormat="false" ht="21.75" hidden="false" customHeight="true" outlineLevel="0" collapsed="false">
      <c r="A9" s="11" t="s">
        <v>103</v>
      </c>
      <c r="B9" s="12" t="n">
        <v>4</v>
      </c>
      <c r="C9" s="18" t="n">
        <v>3</v>
      </c>
      <c r="D9" s="13" t="n">
        <v>1</v>
      </c>
      <c r="E9" s="12" t="n">
        <v>0</v>
      </c>
      <c r="F9" s="14" t="n">
        <f aca="false">E9/B9</f>
        <v>0</v>
      </c>
      <c r="G9" s="15" t="s">
        <v>202</v>
      </c>
    </row>
    <row r="10" customFormat="false" ht="21.75" hidden="false" customHeight="true" outlineLevel="0" collapsed="false">
      <c r="A10" s="16" t="s">
        <v>124</v>
      </c>
      <c r="B10" s="17" t="n">
        <v>4</v>
      </c>
      <c r="C10" s="18" t="n">
        <v>2</v>
      </c>
      <c r="D10" s="13" t="n">
        <v>2</v>
      </c>
      <c r="E10" s="17" t="n">
        <v>0</v>
      </c>
      <c r="F10" s="19" t="n">
        <f aca="false">E10/B10</f>
        <v>0</v>
      </c>
      <c r="G10" s="20" t="s">
        <v>203</v>
      </c>
    </row>
    <row r="11" customFormat="false" ht="21.75" hidden="false" customHeight="true" outlineLevel="0" collapsed="false">
      <c r="A11" s="11" t="s">
        <v>145</v>
      </c>
      <c r="B11" s="12" t="n">
        <v>4</v>
      </c>
      <c r="C11" s="18" t="n">
        <v>4</v>
      </c>
      <c r="D11" s="12" t="n">
        <v>0</v>
      </c>
      <c r="E11" s="12" t="n">
        <v>0</v>
      </c>
      <c r="F11" s="14" t="n">
        <f aca="false">E11/B11</f>
        <v>0</v>
      </c>
      <c r="G11" s="15" t="s">
        <v>204</v>
      </c>
    </row>
    <row r="12" customFormat="false" ht="21.75" hidden="false" customHeight="true" outlineLevel="0" collapsed="false">
      <c r="A12" s="16" t="s">
        <v>162</v>
      </c>
      <c r="B12" s="17" t="n">
        <v>3</v>
      </c>
      <c r="C12" s="18" t="n">
        <v>2</v>
      </c>
      <c r="D12" s="13" t="n">
        <v>1</v>
      </c>
      <c r="E12" s="17" t="n">
        <v>0</v>
      </c>
      <c r="F12" s="19" t="n">
        <f aca="false">E12/B12</f>
        <v>0</v>
      </c>
      <c r="G12" s="20" t="s">
        <v>205</v>
      </c>
    </row>
    <row r="13" customFormat="false" ht="21.75" hidden="false" customHeight="true" outlineLevel="0" collapsed="false">
      <c r="A13" s="11" t="s">
        <v>177</v>
      </c>
      <c r="B13" s="12" t="n">
        <v>3</v>
      </c>
      <c r="C13" s="12" t="n">
        <v>0</v>
      </c>
      <c r="D13" s="13" t="n">
        <v>2</v>
      </c>
      <c r="E13" s="21" t="n">
        <v>1</v>
      </c>
      <c r="F13" s="14" t="n">
        <f aca="false">E13/B13</f>
        <v>0.333333333333333</v>
      </c>
      <c r="G13" s="15" t="s">
        <v>206</v>
      </c>
    </row>
    <row r="14" customFormat="false" ht="24" hidden="false" customHeight="true" outlineLevel="0" collapsed="false">
      <c r="A14" s="22" t="s">
        <v>207</v>
      </c>
      <c r="B14" s="23" t="n">
        <f aca="false">SUM(B5:B13)</f>
        <v>35</v>
      </c>
      <c r="C14" s="23" t="n">
        <f aca="false">SUM(C5:C13)</f>
        <v>21</v>
      </c>
      <c r="D14" s="23" t="n">
        <f aca="false">SUM(D5:D13)</f>
        <v>13</v>
      </c>
      <c r="E14" s="23" t="n">
        <f aca="false">SUM(E5:E13)</f>
        <v>1</v>
      </c>
      <c r="F14" s="24" t="n">
        <f aca="false">E14/B14</f>
        <v>0.0285714285714286</v>
      </c>
      <c r="G14" s="23" t="s">
        <v>208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30" hidden="false" customHeight="true" outlineLevel="0" collapsed="false">
      <c r="A1" s="25" t="s">
        <v>209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customFormat="false" ht="15.75" hidden="false" customHeight="true" outlineLevel="0" collapsed="false">
      <c r="A2" s="2" t="s">
        <v>210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/>
    <row r="4" customFormat="false" ht="24" hidden="false" customHeight="true" outlineLevel="0" collapsed="false">
      <c r="A4" s="26" t="s">
        <v>211</v>
      </c>
      <c r="B4" s="26" t="s">
        <v>212</v>
      </c>
      <c r="C4" s="26" t="s">
        <v>213</v>
      </c>
      <c r="D4" s="26" t="s">
        <v>214</v>
      </c>
      <c r="E4" s="26" t="s">
        <v>215</v>
      </c>
      <c r="F4" s="26" t="s">
        <v>9</v>
      </c>
    </row>
    <row r="5" customFormat="false" ht="42" hidden="false" customHeight="true" outlineLevel="0" collapsed="false">
      <c r="A5" s="27" t="n">
        <v>1</v>
      </c>
      <c r="B5" s="4" t="s">
        <v>216</v>
      </c>
      <c r="C5" s="4" t="s">
        <v>217</v>
      </c>
      <c r="D5" s="4" t="s">
        <v>218</v>
      </c>
      <c r="E5" s="27" t="s">
        <v>219</v>
      </c>
      <c r="F5" s="7" t="s">
        <v>220</v>
      </c>
    </row>
    <row r="6" customFormat="false" ht="42" hidden="false" customHeight="true" outlineLevel="0" collapsed="false">
      <c r="A6" s="28" t="n">
        <v>2</v>
      </c>
      <c r="B6" s="29" t="s">
        <v>221</v>
      </c>
      <c r="C6" s="29" t="s">
        <v>222</v>
      </c>
      <c r="D6" s="29" t="s">
        <v>223</v>
      </c>
      <c r="E6" s="28" t="s">
        <v>224</v>
      </c>
      <c r="F6" s="7" t="s">
        <v>220</v>
      </c>
    </row>
    <row r="7" customFormat="false" ht="42" hidden="false" customHeight="true" outlineLevel="0" collapsed="false">
      <c r="A7" s="27" t="n">
        <v>3</v>
      </c>
      <c r="B7" s="4" t="s">
        <v>225</v>
      </c>
      <c r="C7" s="4" t="s">
        <v>226</v>
      </c>
      <c r="D7" s="4" t="s">
        <v>227</v>
      </c>
      <c r="E7" s="27" t="s">
        <v>219</v>
      </c>
      <c r="F7" s="7" t="s">
        <v>220</v>
      </c>
    </row>
    <row r="8" customFormat="false" ht="42" hidden="false" customHeight="true" outlineLevel="0" collapsed="false">
      <c r="A8" s="28" t="n">
        <v>4</v>
      </c>
      <c r="B8" s="29" t="s">
        <v>228</v>
      </c>
      <c r="C8" s="29" t="s">
        <v>229</v>
      </c>
      <c r="D8" s="29" t="s">
        <v>230</v>
      </c>
      <c r="E8" s="28" t="s">
        <v>105</v>
      </c>
      <c r="F8" s="7" t="s">
        <v>220</v>
      </c>
    </row>
    <row r="9" customFormat="false" ht="42" hidden="false" customHeight="true" outlineLevel="0" collapsed="false">
      <c r="A9" s="27" t="n">
        <v>5</v>
      </c>
      <c r="B9" s="4" t="s">
        <v>231</v>
      </c>
      <c r="C9" s="4" t="s">
        <v>232</v>
      </c>
      <c r="D9" s="4" t="s">
        <v>44</v>
      </c>
      <c r="E9" s="27" t="s">
        <v>233</v>
      </c>
      <c r="F9" s="7" t="s">
        <v>220</v>
      </c>
    </row>
    <row r="10" customFormat="false" ht="42" hidden="false" customHeight="true" outlineLevel="0" collapsed="false">
      <c r="A10" s="28" t="n">
        <v>6</v>
      </c>
      <c r="B10" s="29" t="s">
        <v>234</v>
      </c>
      <c r="C10" s="29" t="s">
        <v>235</v>
      </c>
      <c r="D10" s="29" t="s">
        <v>44</v>
      </c>
      <c r="E10" s="28" t="s">
        <v>236</v>
      </c>
      <c r="F10" s="7" t="s">
        <v>220</v>
      </c>
    </row>
    <row r="11" customFormat="false" ht="42" hidden="false" customHeight="true" outlineLevel="0" collapsed="false">
      <c r="A11" s="27" t="n">
        <v>7</v>
      </c>
      <c r="B11" s="4" t="s">
        <v>237</v>
      </c>
      <c r="C11" s="4" t="s">
        <v>238</v>
      </c>
      <c r="D11" s="4" t="s">
        <v>239</v>
      </c>
      <c r="E11" s="27" t="s">
        <v>240</v>
      </c>
      <c r="F11" s="7" t="s">
        <v>220</v>
      </c>
    </row>
    <row r="12" customFormat="false" ht="42" hidden="false" customHeight="true" outlineLevel="0" collapsed="false">
      <c r="A12" s="28" t="n">
        <v>8</v>
      </c>
      <c r="B12" s="29" t="s">
        <v>241</v>
      </c>
      <c r="C12" s="29" t="s">
        <v>242</v>
      </c>
      <c r="D12" s="29" t="s">
        <v>243</v>
      </c>
      <c r="E12" s="28" t="s">
        <v>131</v>
      </c>
      <c r="F12" s="7" t="s">
        <v>220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2026-03-15T03:55:31Z</dcterms:created>
  <dc:creator>openpyxl</dc:creator>
  <dc:description/>
  <dc:language>en-US</dc:language>
  <cp:lastModifiedBy/>
  <dcterms:modified xsi:type="dcterms:W3CDTF">2026-03-15T03:55:31Z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